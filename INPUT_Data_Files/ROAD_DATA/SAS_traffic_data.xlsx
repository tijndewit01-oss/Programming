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147e9d0375db0e/Documenten/AA WB Delft/Master/System analysis/Programming/INPUT_Data_Files/"/>
    </mc:Choice>
  </mc:AlternateContent>
  <xr:revisionPtr revIDLastSave="344" documentId="11_38F92141B6EED1BC5C727CAD71D553C088101B1F" xr6:coauthVersionLast="47" xr6:coauthVersionMax="47" xr10:uidLastSave="{67FE1D5F-F9D2-4E4A-8679-7AE483023DE4}"/>
  <bookViews>
    <workbookView xWindow="-120" yWindow="-120" windowWidth="29040" windowHeight="15720" firstSheet="2" activeTab="4" xr2:uid="{00000000-000D-0000-FFFF-FFFF00000000}"/>
  </bookViews>
  <sheets>
    <sheet name="General information" sheetId="1" r:id="rId1"/>
    <sheet name="07-06 - 09-06" sheetId="2" r:id="rId2"/>
    <sheet name="14-06 - 16-06" sheetId="3" r:id="rId3"/>
    <sheet name="21-06 - 23-06" sheetId="4" r:id="rId4"/>
    <sheet name="Table 1 - Avg All" sheetId="6" r:id="rId5"/>
    <sheet name="Table 2 - Avg Wknd2-3" sheetId="7" r:id="rId6"/>
    <sheet name="Detector Position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8XRUi2YtXLddCyeuN1EzZYCWpVUnMTMrWAVnqsujvA="/>
    </ext>
  </extLst>
</workbook>
</file>

<file path=xl/calcChain.xml><?xml version="1.0" encoding="utf-8"?>
<calcChain xmlns="http://schemas.openxmlformats.org/spreadsheetml/2006/main">
  <c r="M27" i="7" l="1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27" i="6"/>
  <c r="L27" i="6"/>
  <c r="K27" i="6"/>
  <c r="M26" i="6"/>
  <c r="L26" i="6"/>
  <c r="K26" i="6"/>
  <c r="M25" i="6"/>
  <c r="L25" i="6"/>
  <c r="K25" i="6"/>
  <c r="M24" i="6"/>
  <c r="L24" i="6"/>
  <c r="K24" i="6"/>
  <c r="M23" i="6"/>
  <c r="L23" i="6"/>
  <c r="K23" i="6"/>
  <c r="M22" i="6"/>
  <c r="L22" i="6"/>
  <c r="K22" i="6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B4" i="7"/>
  <c r="C4" i="7"/>
  <c r="D4" i="7"/>
  <c r="E4" i="7"/>
  <c r="F4" i="7"/>
  <c r="G4" i="7"/>
  <c r="H4" i="7"/>
  <c r="I4" i="7"/>
  <c r="J4" i="7"/>
  <c r="B5" i="7"/>
  <c r="C5" i="7"/>
  <c r="D5" i="7"/>
  <c r="E5" i="7"/>
  <c r="F5" i="7"/>
  <c r="G5" i="7"/>
  <c r="H5" i="7"/>
  <c r="I5" i="7"/>
  <c r="J5" i="7"/>
  <c r="B6" i="7"/>
  <c r="C6" i="7"/>
  <c r="D6" i="7"/>
  <c r="E6" i="7"/>
  <c r="F6" i="7"/>
  <c r="G6" i="7"/>
  <c r="H6" i="7"/>
  <c r="I6" i="7"/>
  <c r="J6" i="7"/>
  <c r="B7" i="7"/>
  <c r="C7" i="7"/>
  <c r="D7" i="7"/>
  <c r="E7" i="7"/>
  <c r="F7" i="7"/>
  <c r="G7" i="7"/>
  <c r="H7" i="7"/>
  <c r="I7" i="7"/>
  <c r="J7" i="7"/>
  <c r="B8" i="7"/>
  <c r="C8" i="7"/>
  <c r="D8" i="7"/>
  <c r="E8" i="7"/>
  <c r="F8" i="7"/>
  <c r="G8" i="7"/>
  <c r="H8" i="7"/>
  <c r="I8" i="7"/>
  <c r="J8" i="7"/>
  <c r="B9" i="7"/>
  <c r="C9" i="7"/>
  <c r="D9" i="7"/>
  <c r="E9" i="7"/>
  <c r="F9" i="7"/>
  <c r="G9" i="7"/>
  <c r="H9" i="7"/>
  <c r="I9" i="7"/>
  <c r="J9" i="7"/>
  <c r="B10" i="7"/>
  <c r="C10" i="7"/>
  <c r="D10" i="7"/>
  <c r="E10" i="7"/>
  <c r="F10" i="7"/>
  <c r="G10" i="7"/>
  <c r="H10" i="7"/>
  <c r="I10" i="7"/>
  <c r="J10" i="7"/>
  <c r="B11" i="7"/>
  <c r="C11" i="7"/>
  <c r="D11" i="7"/>
  <c r="E11" i="7"/>
  <c r="F11" i="7"/>
  <c r="G11" i="7"/>
  <c r="H11" i="7"/>
  <c r="I11" i="7"/>
  <c r="J11" i="7"/>
  <c r="B12" i="7"/>
  <c r="C12" i="7"/>
  <c r="D12" i="7"/>
  <c r="E12" i="7"/>
  <c r="F12" i="7"/>
  <c r="G12" i="7"/>
  <c r="H12" i="7"/>
  <c r="I12" i="7"/>
  <c r="J12" i="7"/>
  <c r="B13" i="7"/>
  <c r="C13" i="7"/>
  <c r="D13" i="7"/>
  <c r="E13" i="7"/>
  <c r="F13" i="7"/>
  <c r="G13" i="7"/>
  <c r="H13" i="7"/>
  <c r="I13" i="7"/>
  <c r="J13" i="7"/>
  <c r="B14" i="7"/>
  <c r="C14" i="7"/>
  <c r="D14" i="7"/>
  <c r="E14" i="7"/>
  <c r="F14" i="7"/>
  <c r="G14" i="7"/>
  <c r="H14" i="7"/>
  <c r="I14" i="7"/>
  <c r="J14" i="7"/>
  <c r="B15" i="7"/>
  <c r="C15" i="7"/>
  <c r="D15" i="7"/>
  <c r="E15" i="7"/>
  <c r="F15" i="7"/>
  <c r="G15" i="7"/>
  <c r="H15" i="7"/>
  <c r="I15" i="7"/>
  <c r="J15" i="7"/>
  <c r="B16" i="7"/>
  <c r="C16" i="7"/>
  <c r="D16" i="7"/>
  <c r="E16" i="7"/>
  <c r="F16" i="7"/>
  <c r="G16" i="7"/>
  <c r="H16" i="7"/>
  <c r="I16" i="7"/>
  <c r="J16" i="7"/>
  <c r="B17" i="7"/>
  <c r="C17" i="7"/>
  <c r="D17" i="7"/>
  <c r="E17" i="7"/>
  <c r="F17" i="7"/>
  <c r="G17" i="7"/>
  <c r="H17" i="7"/>
  <c r="I17" i="7"/>
  <c r="J17" i="7"/>
  <c r="B18" i="7"/>
  <c r="C18" i="7"/>
  <c r="D18" i="7"/>
  <c r="E18" i="7"/>
  <c r="F18" i="7"/>
  <c r="G18" i="7"/>
  <c r="H18" i="7"/>
  <c r="I18" i="7"/>
  <c r="J18" i="7"/>
  <c r="B19" i="7"/>
  <c r="C19" i="7"/>
  <c r="D19" i="7"/>
  <c r="E19" i="7"/>
  <c r="F19" i="7"/>
  <c r="G19" i="7"/>
  <c r="H19" i="7"/>
  <c r="I19" i="7"/>
  <c r="J19" i="7"/>
  <c r="B20" i="7"/>
  <c r="C20" i="7"/>
  <c r="D20" i="7"/>
  <c r="E20" i="7"/>
  <c r="F20" i="7"/>
  <c r="G20" i="7"/>
  <c r="H20" i="7"/>
  <c r="I20" i="7"/>
  <c r="J20" i="7"/>
  <c r="B21" i="7"/>
  <c r="C21" i="7"/>
  <c r="D21" i="7"/>
  <c r="E21" i="7"/>
  <c r="F21" i="7"/>
  <c r="G21" i="7"/>
  <c r="H21" i="7"/>
  <c r="I21" i="7"/>
  <c r="J21" i="7"/>
  <c r="B22" i="7"/>
  <c r="C22" i="7"/>
  <c r="D22" i="7"/>
  <c r="E22" i="7"/>
  <c r="F22" i="7"/>
  <c r="G22" i="7"/>
  <c r="H22" i="7"/>
  <c r="I22" i="7"/>
  <c r="J22" i="7"/>
  <c r="B23" i="7"/>
  <c r="C23" i="7"/>
  <c r="D23" i="7"/>
  <c r="E23" i="7"/>
  <c r="F23" i="7"/>
  <c r="G23" i="7"/>
  <c r="H23" i="7"/>
  <c r="I23" i="7"/>
  <c r="J23" i="7"/>
  <c r="B24" i="7"/>
  <c r="C24" i="7"/>
  <c r="D24" i="7"/>
  <c r="E24" i="7"/>
  <c r="F24" i="7"/>
  <c r="G24" i="7"/>
  <c r="H24" i="7"/>
  <c r="I24" i="7"/>
  <c r="J24" i="7"/>
  <c r="B25" i="7"/>
  <c r="C25" i="7"/>
  <c r="D25" i="7"/>
  <c r="E25" i="7"/>
  <c r="F25" i="7"/>
  <c r="G25" i="7"/>
  <c r="H25" i="7"/>
  <c r="I25" i="7"/>
  <c r="J25" i="7"/>
  <c r="B26" i="7"/>
  <c r="C26" i="7"/>
  <c r="D26" i="7"/>
  <c r="E26" i="7"/>
  <c r="F26" i="7"/>
  <c r="G26" i="7"/>
  <c r="H26" i="7"/>
  <c r="I26" i="7"/>
  <c r="J26" i="7"/>
  <c r="B27" i="7"/>
  <c r="C27" i="7"/>
  <c r="D27" i="7"/>
  <c r="E27" i="7"/>
  <c r="F27" i="7"/>
  <c r="G27" i="7"/>
  <c r="H27" i="7"/>
  <c r="I27" i="7"/>
  <c r="J27" i="7"/>
  <c r="B4" i="6"/>
  <c r="C4" i="6"/>
  <c r="D4" i="6"/>
  <c r="E4" i="6"/>
  <c r="F4" i="6"/>
  <c r="G4" i="6"/>
  <c r="H4" i="6"/>
  <c r="I4" i="6"/>
  <c r="J4" i="6"/>
  <c r="B5" i="6"/>
  <c r="C5" i="6"/>
  <c r="D5" i="6"/>
  <c r="E5" i="6"/>
  <c r="F5" i="6"/>
  <c r="G5" i="6"/>
  <c r="H5" i="6"/>
  <c r="I5" i="6"/>
  <c r="J5" i="6"/>
  <c r="B6" i="6"/>
  <c r="C6" i="6"/>
  <c r="D6" i="6"/>
  <c r="E6" i="6"/>
  <c r="F6" i="6"/>
  <c r="G6" i="6"/>
  <c r="H6" i="6"/>
  <c r="I6" i="6"/>
  <c r="J6" i="6"/>
  <c r="B7" i="6"/>
  <c r="C7" i="6"/>
  <c r="D7" i="6"/>
  <c r="E7" i="6"/>
  <c r="F7" i="6"/>
  <c r="G7" i="6"/>
  <c r="H7" i="6"/>
  <c r="I7" i="6"/>
  <c r="J7" i="6"/>
  <c r="B8" i="6"/>
  <c r="C8" i="6"/>
  <c r="D8" i="6"/>
  <c r="E8" i="6"/>
  <c r="F8" i="6"/>
  <c r="G8" i="6"/>
  <c r="H8" i="6"/>
  <c r="I8" i="6"/>
  <c r="J8" i="6"/>
  <c r="B9" i="6"/>
  <c r="C9" i="6"/>
  <c r="D9" i="6"/>
  <c r="E9" i="6"/>
  <c r="F9" i="6"/>
  <c r="G9" i="6"/>
  <c r="H9" i="6"/>
  <c r="I9" i="6"/>
  <c r="J9" i="6"/>
  <c r="B10" i="6"/>
  <c r="C10" i="6"/>
  <c r="D10" i="6"/>
  <c r="E10" i="6"/>
  <c r="F10" i="6"/>
  <c r="G10" i="6"/>
  <c r="H10" i="6"/>
  <c r="I10" i="6"/>
  <c r="J10" i="6"/>
  <c r="B11" i="6"/>
  <c r="C11" i="6"/>
  <c r="D11" i="6"/>
  <c r="E11" i="6"/>
  <c r="F11" i="6"/>
  <c r="G11" i="6"/>
  <c r="H11" i="6"/>
  <c r="I11" i="6"/>
  <c r="J11" i="6"/>
  <c r="B12" i="6"/>
  <c r="C12" i="6"/>
  <c r="D12" i="6"/>
  <c r="E12" i="6"/>
  <c r="F12" i="6"/>
  <c r="G12" i="6"/>
  <c r="H12" i="6"/>
  <c r="I12" i="6"/>
  <c r="J12" i="6"/>
  <c r="B13" i="6"/>
  <c r="C13" i="6"/>
  <c r="D13" i="6"/>
  <c r="E13" i="6"/>
  <c r="F13" i="6"/>
  <c r="G13" i="6"/>
  <c r="H13" i="6"/>
  <c r="I13" i="6"/>
  <c r="J13" i="6"/>
  <c r="B14" i="6"/>
  <c r="C14" i="6"/>
  <c r="D14" i="6"/>
  <c r="E14" i="6"/>
  <c r="F14" i="6"/>
  <c r="G14" i="6"/>
  <c r="H14" i="6"/>
  <c r="I14" i="6"/>
  <c r="J14" i="6"/>
  <c r="B15" i="6"/>
  <c r="C15" i="6"/>
  <c r="D15" i="6"/>
  <c r="E15" i="6"/>
  <c r="F15" i="6"/>
  <c r="G15" i="6"/>
  <c r="H15" i="6"/>
  <c r="I15" i="6"/>
  <c r="J15" i="6"/>
  <c r="B16" i="6"/>
  <c r="C16" i="6"/>
  <c r="D16" i="6"/>
  <c r="E16" i="6"/>
  <c r="F16" i="6"/>
  <c r="G16" i="6"/>
  <c r="H16" i="6"/>
  <c r="I16" i="6"/>
  <c r="J16" i="6"/>
  <c r="B17" i="6"/>
  <c r="C17" i="6"/>
  <c r="D17" i="6"/>
  <c r="E17" i="6"/>
  <c r="F17" i="6"/>
  <c r="G17" i="6"/>
  <c r="H17" i="6"/>
  <c r="I17" i="6"/>
  <c r="J17" i="6"/>
  <c r="B18" i="6"/>
  <c r="C18" i="6"/>
  <c r="D18" i="6"/>
  <c r="E18" i="6"/>
  <c r="F18" i="6"/>
  <c r="G18" i="6"/>
  <c r="H18" i="6"/>
  <c r="I18" i="6"/>
  <c r="J18" i="6"/>
  <c r="B19" i="6"/>
  <c r="C19" i="6"/>
  <c r="D19" i="6"/>
  <c r="E19" i="6"/>
  <c r="F19" i="6"/>
  <c r="G19" i="6"/>
  <c r="H19" i="6"/>
  <c r="I19" i="6"/>
  <c r="J19" i="6"/>
  <c r="B20" i="6"/>
  <c r="C20" i="6"/>
  <c r="D20" i="6"/>
  <c r="E20" i="6"/>
  <c r="F20" i="6"/>
  <c r="G20" i="6"/>
  <c r="H20" i="6"/>
  <c r="I20" i="6"/>
  <c r="J20" i="6"/>
  <c r="B21" i="6"/>
  <c r="C21" i="6"/>
  <c r="D21" i="6"/>
  <c r="E21" i="6"/>
  <c r="F21" i="6"/>
  <c r="G21" i="6"/>
  <c r="H21" i="6"/>
  <c r="I21" i="6"/>
  <c r="J21" i="6"/>
  <c r="B22" i="6"/>
  <c r="C22" i="6"/>
  <c r="D22" i="6"/>
  <c r="E22" i="6"/>
  <c r="F22" i="6"/>
  <c r="G22" i="6"/>
  <c r="H22" i="6"/>
  <c r="I22" i="6"/>
  <c r="J22" i="6"/>
  <c r="B23" i="6"/>
  <c r="C23" i="6"/>
  <c r="D23" i="6"/>
  <c r="E23" i="6"/>
  <c r="F23" i="6"/>
  <c r="G23" i="6"/>
  <c r="H23" i="6"/>
  <c r="I23" i="6"/>
  <c r="J23" i="6"/>
  <c r="B24" i="6"/>
  <c r="C24" i="6"/>
  <c r="D24" i="6"/>
  <c r="E24" i="6"/>
  <c r="F24" i="6"/>
  <c r="G24" i="6"/>
  <c r="H24" i="6"/>
  <c r="I24" i="6"/>
  <c r="J24" i="6"/>
  <c r="B25" i="6"/>
  <c r="C25" i="6"/>
  <c r="D25" i="6"/>
  <c r="E25" i="6"/>
  <c r="F25" i="6"/>
  <c r="G25" i="6"/>
  <c r="H25" i="6"/>
  <c r="I25" i="6"/>
  <c r="J25" i="6"/>
  <c r="B26" i="6"/>
  <c r="C26" i="6"/>
  <c r="D26" i="6"/>
  <c r="E26" i="6"/>
  <c r="F26" i="6"/>
  <c r="G26" i="6"/>
  <c r="H26" i="6"/>
  <c r="I26" i="6"/>
  <c r="J26" i="6"/>
  <c r="B27" i="6"/>
  <c r="C27" i="6"/>
  <c r="D27" i="6"/>
  <c r="E27" i="6"/>
  <c r="F27" i="6"/>
  <c r="G27" i="6"/>
  <c r="H27" i="6"/>
  <c r="I27" i="6"/>
  <c r="J27" i="6"/>
  <c r="E6" i="8"/>
  <c r="D6" i="8"/>
  <c r="C6" i="8"/>
  <c r="B6" i="8"/>
  <c r="E5" i="8"/>
  <c r="D5" i="8"/>
  <c r="C5" i="8"/>
  <c r="B5" i="8"/>
  <c r="E4" i="8"/>
  <c r="D4" i="8"/>
  <c r="C4" i="8"/>
  <c r="B4" i="8"/>
  <c r="AG16" i="1"/>
  <c r="AF16" i="1"/>
  <c r="AE16" i="1"/>
  <c r="AC16" i="1"/>
  <c r="AB16" i="1"/>
  <c r="AA16" i="1"/>
  <c r="Y16" i="1"/>
  <c r="X16" i="1"/>
  <c r="W16" i="1"/>
  <c r="U16" i="1"/>
  <c r="T16" i="1"/>
  <c r="S16" i="1"/>
  <c r="Q16" i="1"/>
  <c r="P16" i="1"/>
  <c r="O16" i="1"/>
  <c r="M16" i="1"/>
  <c r="L16" i="1"/>
  <c r="K16" i="1"/>
</calcChain>
</file>

<file path=xl/sharedStrings.xml><?xml version="1.0" encoding="utf-8"?>
<sst xmlns="http://schemas.openxmlformats.org/spreadsheetml/2006/main" count="148" uniqueCount="66">
  <si>
    <t xml:space="preserve">Geselecteerde locaties: </t>
  </si>
  <si>
    <t>Locations:</t>
  </si>
  <si>
    <t>ID</t>
  </si>
  <si>
    <t>Naam</t>
  </si>
  <si>
    <t>Breedtegraad</t>
  </si>
  <si>
    <t>Lengtegraad</t>
  </si>
  <si>
    <t>GEO2A_R_RWSTI362792</t>
  </si>
  <si>
    <t>035HRL021400</t>
  </si>
  <si>
    <t>GEO2A__R_RWSTI362781</t>
  </si>
  <si>
    <t>N35 na afslag Heino-Zuid ri kr N348 thv hmp 19.2</t>
  </si>
  <si>
    <t>POV07_N348_Hmp_64.4_Re_HTN348</t>
  </si>
  <si>
    <t>Westdorplaan - N756</t>
  </si>
  <si>
    <t xml:space="preserve">Location: </t>
  </si>
  <si>
    <t>Hour of the day</t>
  </si>
  <si>
    <t>Vehicle count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</si>
  <si>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</si>
  <si>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</si>
  <si>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</si>
  <si>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</si>
  <si>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</si>
  <si>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</si>
  <si>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</si>
  <si>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</si>
  <si>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</si>
  <si>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</si>
  <si>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</si>
  <si>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</si>
  <si>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</si>
  <si>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</si>
  <si>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</si>
  <si>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</si>
  <si>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</si>
  <si>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</si>
  <si>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</si>
  <si>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</si>
  <si>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</si>
  <si>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</si>
  <si>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</si>
  <si>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</si>
  <si>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</si>
  <si>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</si>
  <si>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</si>
  <si>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</si>
  <si>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</si>
  <si>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</si>
  <si>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Location</t>
  </si>
  <si>
    <t>Detector</t>
  </si>
  <si>
    <t>Average vehicles per hour (cars/hour) — all 3 weekends (07-06, 14-06, 21-06)</t>
  </si>
  <si>
    <t>Hour</t>
  </si>
  <si>
    <t>Det1 Saturday</t>
  </si>
  <si>
    <t>Det2 Saturday</t>
  </si>
  <si>
    <t>Det3 Saturday</t>
  </si>
  <si>
    <t>Det1 Sunday</t>
  </si>
  <si>
    <t>Det2 Sunday</t>
  </si>
  <si>
    <t>Det3 Sunday</t>
  </si>
  <si>
    <t>Average vehicles per hour (cars/hour) — weekends 14-06 &amp; 21-06 only</t>
  </si>
  <si>
    <t>Loop detector positions</t>
  </si>
  <si>
    <t>Name</t>
  </si>
  <si>
    <t>Latitude</t>
  </si>
  <si>
    <t>Longitude</t>
  </si>
  <si>
    <t>Det1 Monday</t>
  </si>
  <si>
    <t>Det2 Monday</t>
  </si>
  <si>
    <t>Det3 Monday</t>
  </si>
  <si>
    <t>Avg Saturday (all det)</t>
  </si>
  <si>
    <t>Avg Sunday (all det)</t>
  </si>
  <si>
    <t>Avg Monday (all det)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</si>
</sst>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" fontId="5" fillId="0" borderId="0" xfId="0" applyNumberFormat="1" applyFont="1"/>
    <xf numFmtId="16" fontId="6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3" borderId="0" xfId="0" applyFont="1" applyFill="1"/>
    <xf numFmtId="0" fontId="7" fillId="4" borderId="0" xfId="0" applyFont="1" applyFill="1"/>
    <xf numFmtId="1" fontId="0" fillId="0" borderId="0" xfId="0" applyNumberFormat="1"/>
    <xf numFmtId="164" fontId="0" fillId="0" borderId="0" xfId="0" applyNumberFormat="1"/>
    <xf numFmtId="0" fontId="8" fillId="4" borderId="0" xfId="0" applyFont="1" applyFill="1"/>
    <xf numFmtId="0" fontId="8" fillId="2" borderId="0" xfId="0" applyFont="1" applyFill="1"/>
    <xf numFmtId="0" fontId="8" fillId="3" borderId="0" xfId="0" applyFont="1" applyFill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13</xdr:row>
      <xdr:rowOff>28575</xdr:rowOff>
    </xdr:from>
    <xdr:ext cx="4876800" cy="4667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8AE2B1-74F3-4353-9DA7-17703EE23A0E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4736f8f3-f972-42f8-94a0-61f3d12beeb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zoomScale="71" workbookViewId="0"/>
  </sheetViews>
  <sheetFormatPr defaultColWidth="11.25" defaultRowHeight="15" customHeight="1" x14ac:dyDescent="0.25"/>
  <cols>
    <col min="1" max="1" width="8.375" customWidth="1"/>
    <col min="2" max="2" width="25.625" customWidth="1"/>
    <col min="3" max="3" width="31.875" customWidth="1"/>
    <col min="4" max="4" width="10.375" customWidth="1"/>
    <col min="5" max="5" width="11" customWidth="1"/>
    <col min="6" max="33" width="8.375" customWidth="1"/>
  </cols>
  <sheetData>
    <row r="1" spans="1:33" ht="15.75" customHeight="1" x14ac:dyDescent="0.25">
      <c r="A1" s="1" t="s">
        <v>0</v>
      </c>
    </row>
    <row r="2" spans="1:33" ht="15.75" customHeight="1" x14ac:dyDescent="0.25">
      <c r="A2" s="2"/>
      <c r="B2" s="2"/>
      <c r="C2" s="2"/>
      <c r="D2" s="2"/>
      <c r="E2" s="2"/>
      <c r="F2" s="2"/>
    </row>
    <row r="3" spans="1:33" ht="15.7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33" ht="15.75" customHeight="1" x14ac:dyDescent="0.25">
      <c r="A4" s="1">
        <v>1</v>
      </c>
      <c r="B4" s="1" t="s">
        <v>6</v>
      </c>
      <c r="C4" s="1" t="s">
        <v>7</v>
      </c>
      <c r="D4" s="1">
        <v>52.386608000000003</v>
      </c>
      <c r="E4" s="1">
        <v>6.2898360000000002</v>
      </c>
    </row>
    <row r="5" spans="1:33" ht="15.75" customHeight="1" x14ac:dyDescent="0.25">
      <c r="A5" s="1">
        <v>2</v>
      </c>
      <c r="B5" s="1" t="s">
        <v>8</v>
      </c>
      <c r="C5" s="1" t="s">
        <v>9</v>
      </c>
      <c r="D5" s="1">
        <v>52.400634799999999</v>
      </c>
      <c r="E5" s="1">
        <v>6.2675862000000002</v>
      </c>
    </row>
    <row r="6" spans="1:33" ht="15.75" customHeight="1" x14ac:dyDescent="0.25">
      <c r="A6" s="1">
        <v>3</v>
      </c>
      <c r="B6" s="1" t="s">
        <v>10</v>
      </c>
      <c r="C6" s="1" t="s">
        <v>11</v>
      </c>
      <c r="D6" s="1">
        <v>52.380649599999998</v>
      </c>
      <c r="E6" s="1">
        <v>6.2590389000000002</v>
      </c>
    </row>
    <row r="7" spans="1:33" ht="15.75" customHeight="1" x14ac:dyDescent="0.25"/>
    <row r="8" spans="1:33" ht="15.75" customHeight="1" x14ac:dyDescent="0.25"/>
    <row r="9" spans="1:33" ht="15.75" customHeight="1" x14ac:dyDescent="0.25"/>
    <row r="10" spans="1:33" ht="15.75" customHeight="1" x14ac:dyDescent="0.25"/>
    <row r="11" spans="1:33" ht="15.75" customHeight="1" x14ac:dyDescent="0.25"/>
    <row r="12" spans="1:33" ht="15.75" customHeight="1" x14ac:dyDescent="0.25"/>
    <row r="13" spans="1:33" ht="15.75" customHeight="1" x14ac:dyDescent="0.25"/>
    <row r="14" spans="1:33" ht="15.75" customHeight="1" x14ac:dyDescent="0.25">
      <c r="K14" s="1">
        <v>8044</v>
      </c>
      <c r="L14" s="3">
        <v>8714</v>
      </c>
      <c r="M14" s="3">
        <v>5961</v>
      </c>
      <c r="O14" s="4">
        <v>5694</v>
      </c>
      <c r="P14" s="3">
        <v>6484</v>
      </c>
      <c r="Q14" s="3">
        <v>4540</v>
      </c>
      <c r="S14" s="3">
        <v>6982</v>
      </c>
      <c r="T14" s="3">
        <v>8149</v>
      </c>
      <c r="U14" s="3">
        <v>5116</v>
      </c>
      <c r="W14" s="1">
        <v>8044</v>
      </c>
      <c r="X14" s="3">
        <v>8714</v>
      </c>
      <c r="Y14" s="3">
        <v>5961</v>
      </c>
      <c r="AA14" s="4">
        <v>5694</v>
      </c>
      <c r="AB14" s="3">
        <v>6484</v>
      </c>
      <c r="AC14" s="3">
        <v>4540</v>
      </c>
      <c r="AE14" s="3">
        <v>6982</v>
      </c>
      <c r="AF14" s="3">
        <v>8149</v>
      </c>
      <c r="AG14" s="3">
        <v>5116</v>
      </c>
    </row>
    <row r="15" spans="1:33" ht="15.75" customHeight="1" x14ac:dyDescent="0.25">
      <c r="K15" s="3">
        <v>8319</v>
      </c>
      <c r="L15" s="3">
        <v>9475</v>
      </c>
      <c r="M15" s="3">
        <v>6366</v>
      </c>
      <c r="O15" s="3">
        <v>6300</v>
      </c>
      <c r="P15" s="3">
        <v>7987</v>
      </c>
      <c r="Q15" s="3">
        <v>5441</v>
      </c>
      <c r="S15" s="3">
        <v>10621</v>
      </c>
      <c r="T15" s="3">
        <v>10731</v>
      </c>
      <c r="U15" s="3">
        <v>7171</v>
      </c>
      <c r="W15" s="3">
        <v>8272</v>
      </c>
      <c r="X15" s="3">
        <v>9125</v>
      </c>
      <c r="Y15" s="3">
        <v>5524</v>
      </c>
      <c r="AA15" s="3">
        <v>7287</v>
      </c>
      <c r="AB15" s="3">
        <v>10407</v>
      </c>
      <c r="AC15" s="3">
        <v>5961</v>
      </c>
      <c r="AE15" s="3">
        <v>10454</v>
      </c>
      <c r="AF15" s="3">
        <v>10716</v>
      </c>
      <c r="AG15" s="3">
        <v>7127</v>
      </c>
    </row>
    <row r="16" spans="1:33" ht="15.75" customHeight="1" x14ac:dyDescent="0.25">
      <c r="K16" s="1">
        <f t="shared" ref="K16:M16" si="0">K15-K14</f>
        <v>275</v>
      </c>
      <c r="L16" s="1">
        <f t="shared" si="0"/>
        <v>761</v>
      </c>
      <c r="M16" s="1">
        <f t="shared" si="0"/>
        <v>405</v>
      </c>
      <c r="O16" s="1">
        <f t="shared" ref="O16:Q16" si="1">O15-O14</f>
        <v>606</v>
      </c>
      <c r="P16" s="1">
        <f t="shared" si="1"/>
        <v>1503</v>
      </c>
      <c r="Q16" s="1">
        <f t="shared" si="1"/>
        <v>901</v>
      </c>
      <c r="S16" s="1">
        <f t="shared" ref="S16:U16" si="2">S15-S14</f>
        <v>3639</v>
      </c>
      <c r="T16" s="1">
        <f t="shared" si="2"/>
        <v>2582</v>
      </c>
      <c r="U16" s="1">
        <f t="shared" si="2"/>
        <v>2055</v>
      </c>
      <c r="W16" s="1">
        <f t="shared" ref="W16:Y16" si="3">W15-W14</f>
        <v>228</v>
      </c>
      <c r="X16" s="1">
        <f t="shared" si="3"/>
        <v>411</v>
      </c>
      <c r="Y16" s="1">
        <f t="shared" si="3"/>
        <v>-437</v>
      </c>
      <c r="AA16" s="1">
        <f t="shared" ref="AA16:AC16" si="4">AA15-AA14</f>
        <v>1593</v>
      </c>
      <c r="AB16" s="1">
        <f t="shared" si="4"/>
        <v>3923</v>
      </c>
      <c r="AC16" s="1">
        <f t="shared" si="4"/>
        <v>1421</v>
      </c>
      <c r="AE16" s="1">
        <f t="shared" ref="AE16:AG16" si="5">AE15-AE14</f>
        <v>3472</v>
      </c>
      <c r="AF16" s="1">
        <f t="shared" si="5"/>
        <v>2567</v>
      </c>
      <c r="AG16" s="1">
        <f t="shared" si="5"/>
        <v>2011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F7" sqref="F7"/>
    </sheetView>
  </sheetViews>
  <sheetFormatPr defaultColWidth="11.25" defaultRowHeight="15" customHeight="1" x14ac:dyDescent="0.25"/>
  <cols>
    <col min="1" max="1" width="21.375" customWidth="1"/>
    <col min="2" max="2" width="12.25" customWidth="1"/>
    <col min="3" max="26" width="8.375" customWidth="1"/>
  </cols>
  <sheetData>
    <row r="1" spans="1:12" ht="15.75" customHeight="1" x14ac:dyDescent="0.25">
      <c r="A1" s="5">
        <v>46180</v>
      </c>
      <c r="F1" s="6">
        <v>46181</v>
      </c>
      <c r="J1" s="6">
        <v>46182</v>
      </c>
    </row>
    <row r="2" spans="1:12" ht="15.75" customHeight="1" x14ac:dyDescent="0.25"/>
    <row r="3" spans="1:12" ht="15.75" customHeight="1" x14ac:dyDescent="0.25"/>
    <row r="4" spans="1:12" ht="15.75" customHeight="1" x14ac:dyDescent="0.25">
      <c r="A4" s="1" t="s">
        <v>12</v>
      </c>
      <c r="B4" s="1">
        <v>1</v>
      </c>
      <c r="C4" s="1">
        <v>2</v>
      </c>
      <c r="D4" s="1">
        <v>3</v>
      </c>
      <c r="F4" s="1">
        <v>1</v>
      </c>
      <c r="G4" s="1">
        <v>2</v>
      </c>
      <c r="H4" s="1">
        <v>3</v>
      </c>
      <c r="J4" s="1">
        <v>1</v>
      </c>
      <c r="K4" s="1">
        <v>2</v>
      </c>
      <c r="L4" s="1">
        <v>3</v>
      </c>
    </row>
    <row r="5" spans="1:12" ht="15.75" customHeight="1" x14ac:dyDescent="0.25"/>
    <row r="6" spans="1:12" ht="15.75" customHeight="1" x14ac:dyDescent="0.25">
      <c r="A6" s="1" t="s">
        <v>13</v>
      </c>
      <c r="B6" s="1" t="s">
        <v>14</v>
      </c>
    </row>
    <row r="7" spans="1:12" ht="15.75" customHeight="1" x14ac:dyDescent="0.25">
      <c r="A7" s="1" t="s">
        <v>15</v>
      </c>
      <c r="B7" s="1">
        <v>117</v>
      </c>
      <c r="C7" s="3">
        <v>121</v>
      </c>
      <c r="D7" s="3">
        <v>89</v>
      </c>
      <c r="F7" s="4">
        <v>162</v>
      </c>
      <c r="G7" s="3">
        <v>159</v>
      </c>
      <c r="H7" s="3">
        <v>84</v>
      </c>
      <c r="J7" s="3">
        <v>86</v>
      </c>
      <c r="K7" s="3">
        <v>80</v>
      </c>
      <c r="L7" s="3">
        <v>43</v>
      </c>
    </row>
    <row r="8" spans="1:12" ht="15.75" customHeight="1" x14ac:dyDescent="0.25">
      <c r="A8" s="1" t="s">
        <v>16</v>
      </c>
      <c r="B8" s="1">
        <v>52</v>
      </c>
      <c r="C8" s="3">
        <v>65</v>
      </c>
      <c r="D8" s="3">
        <v>40</v>
      </c>
      <c r="F8" s="4">
        <v>94</v>
      </c>
      <c r="G8" s="3">
        <v>75</v>
      </c>
      <c r="H8" s="3">
        <v>72</v>
      </c>
      <c r="J8" s="3">
        <v>75</v>
      </c>
      <c r="K8" s="3">
        <v>45</v>
      </c>
      <c r="L8" s="3">
        <v>19</v>
      </c>
    </row>
    <row r="9" spans="1:12" ht="15.75" customHeight="1" x14ac:dyDescent="0.25">
      <c r="A9" s="1" t="s">
        <v>17</v>
      </c>
      <c r="B9" s="1">
        <v>33</v>
      </c>
      <c r="C9" s="3">
        <v>36</v>
      </c>
      <c r="D9" s="3">
        <v>22</v>
      </c>
      <c r="F9" s="4">
        <v>51</v>
      </c>
      <c r="G9" s="3">
        <v>51</v>
      </c>
      <c r="H9" s="3">
        <v>30</v>
      </c>
      <c r="J9" s="3">
        <v>31</v>
      </c>
      <c r="K9" s="3">
        <v>21</v>
      </c>
      <c r="L9" s="3">
        <v>10</v>
      </c>
    </row>
    <row r="10" spans="1:12" ht="15.75" customHeight="1" x14ac:dyDescent="0.25">
      <c r="A10" s="1" t="s">
        <v>18</v>
      </c>
      <c r="B10" s="1">
        <v>22</v>
      </c>
      <c r="C10" s="3">
        <v>22</v>
      </c>
      <c r="D10" s="3">
        <v>18</v>
      </c>
      <c r="F10" s="4">
        <v>23</v>
      </c>
      <c r="G10" s="3">
        <v>27</v>
      </c>
      <c r="H10" s="3">
        <v>12</v>
      </c>
      <c r="J10" s="3">
        <v>21</v>
      </c>
      <c r="K10" s="3">
        <v>8</v>
      </c>
      <c r="L10" s="3">
        <v>12</v>
      </c>
    </row>
    <row r="11" spans="1:12" ht="15.75" customHeight="1" x14ac:dyDescent="0.25">
      <c r="A11" s="1" t="s">
        <v>19</v>
      </c>
      <c r="B11" s="1">
        <v>54</v>
      </c>
      <c r="C11" s="3">
        <v>52</v>
      </c>
      <c r="D11" s="3">
        <v>17</v>
      </c>
      <c r="F11" s="4">
        <v>17</v>
      </c>
      <c r="G11" s="3">
        <v>21</v>
      </c>
      <c r="H11" s="3">
        <v>4</v>
      </c>
      <c r="J11" s="3">
        <v>23</v>
      </c>
      <c r="K11" s="3">
        <v>16</v>
      </c>
      <c r="L11" s="3">
        <v>13</v>
      </c>
    </row>
    <row r="12" spans="1:12" ht="15.75" customHeight="1" x14ac:dyDescent="0.25">
      <c r="A12" s="1" t="s">
        <v>20</v>
      </c>
      <c r="B12" s="1">
        <v>67</v>
      </c>
      <c r="C12" s="3">
        <v>48</v>
      </c>
      <c r="D12" s="3">
        <v>28</v>
      </c>
      <c r="F12" s="4">
        <v>32</v>
      </c>
      <c r="G12" s="3">
        <v>26</v>
      </c>
      <c r="H12" s="3">
        <v>12</v>
      </c>
      <c r="J12" s="3">
        <v>43</v>
      </c>
      <c r="K12" s="3">
        <v>31</v>
      </c>
      <c r="L12" s="3">
        <v>36</v>
      </c>
    </row>
    <row r="13" spans="1:12" ht="15.75" customHeight="1" x14ac:dyDescent="0.25">
      <c r="A13" s="1" t="s">
        <v>21</v>
      </c>
      <c r="B13" s="1">
        <v>108</v>
      </c>
      <c r="C13" s="3">
        <v>111</v>
      </c>
      <c r="D13" s="3">
        <v>64</v>
      </c>
      <c r="F13" s="4">
        <v>61</v>
      </c>
      <c r="G13" s="3">
        <v>48</v>
      </c>
      <c r="H13" s="3">
        <v>25</v>
      </c>
      <c r="J13" s="3">
        <v>52</v>
      </c>
      <c r="K13" s="3">
        <v>78</v>
      </c>
      <c r="L13" s="3">
        <v>53</v>
      </c>
    </row>
    <row r="14" spans="1:12" ht="15.75" customHeight="1" x14ac:dyDescent="0.25">
      <c r="A14" s="1" t="s">
        <v>22</v>
      </c>
      <c r="B14" s="1">
        <v>189</v>
      </c>
      <c r="C14" s="3">
        <v>234</v>
      </c>
      <c r="D14" s="3">
        <v>134</v>
      </c>
      <c r="F14" s="4">
        <v>50</v>
      </c>
      <c r="G14" s="3">
        <v>60</v>
      </c>
      <c r="H14" s="3">
        <v>40</v>
      </c>
      <c r="J14" s="3">
        <v>46</v>
      </c>
      <c r="K14" s="3">
        <v>99</v>
      </c>
      <c r="L14" s="3">
        <v>94</v>
      </c>
    </row>
    <row r="15" spans="1:12" ht="15.75" customHeight="1" x14ac:dyDescent="0.25">
      <c r="A15" s="1" t="s">
        <v>23</v>
      </c>
      <c r="B15" s="1">
        <v>288</v>
      </c>
      <c r="C15" s="3">
        <v>312</v>
      </c>
      <c r="D15" s="3">
        <v>227</v>
      </c>
      <c r="F15" s="4">
        <v>95</v>
      </c>
      <c r="G15" s="3">
        <v>95</v>
      </c>
      <c r="H15" s="3">
        <v>72</v>
      </c>
      <c r="J15" s="3">
        <v>65</v>
      </c>
      <c r="K15" s="3">
        <v>151</v>
      </c>
      <c r="L15" s="3">
        <v>145</v>
      </c>
    </row>
    <row r="16" spans="1:12" ht="15.75" customHeight="1" x14ac:dyDescent="0.25">
      <c r="A16" s="1" t="s">
        <v>24</v>
      </c>
      <c r="B16" s="1">
        <v>486</v>
      </c>
      <c r="C16" s="3">
        <v>469</v>
      </c>
      <c r="D16" s="3">
        <v>417</v>
      </c>
      <c r="F16" s="4">
        <v>236</v>
      </c>
      <c r="G16" s="3">
        <v>220</v>
      </c>
      <c r="H16" s="3">
        <v>202</v>
      </c>
      <c r="J16" s="3">
        <v>247</v>
      </c>
      <c r="K16" s="3">
        <v>284</v>
      </c>
      <c r="L16" s="3">
        <v>252</v>
      </c>
    </row>
    <row r="17" spans="1:12" ht="15.75" customHeight="1" x14ac:dyDescent="0.25">
      <c r="A17" s="1" t="s">
        <v>25</v>
      </c>
      <c r="B17" s="1">
        <v>590</v>
      </c>
      <c r="C17" s="3">
        <v>560</v>
      </c>
      <c r="D17" s="3">
        <v>478</v>
      </c>
      <c r="F17" s="4">
        <v>346</v>
      </c>
      <c r="G17" s="3">
        <v>368</v>
      </c>
      <c r="H17" s="3">
        <v>344</v>
      </c>
      <c r="J17" s="3">
        <v>408</v>
      </c>
      <c r="K17" s="3">
        <v>492</v>
      </c>
      <c r="L17" s="3">
        <v>394</v>
      </c>
    </row>
    <row r="18" spans="1:12" ht="15.75" customHeight="1" x14ac:dyDescent="0.25">
      <c r="A18" s="1" t="s">
        <v>26</v>
      </c>
      <c r="B18" s="1">
        <v>627</v>
      </c>
      <c r="C18" s="3">
        <v>589</v>
      </c>
      <c r="D18" s="3">
        <v>471</v>
      </c>
      <c r="F18" s="4">
        <v>384</v>
      </c>
      <c r="G18" s="3">
        <v>395</v>
      </c>
      <c r="H18" s="3">
        <v>328</v>
      </c>
      <c r="J18" s="3">
        <v>483</v>
      </c>
      <c r="K18" s="3">
        <v>533</v>
      </c>
      <c r="L18" s="3">
        <v>443</v>
      </c>
    </row>
    <row r="19" spans="1:12" ht="15.75" customHeight="1" x14ac:dyDescent="0.25">
      <c r="A19" s="1" t="s">
        <v>27</v>
      </c>
      <c r="B19" s="1">
        <v>675</v>
      </c>
      <c r="C19" s="3">
        <v>683</v>
      </c>
      <c r="D19" s="3">
        <v>472</v>
      </c>
      <c r="F19" s="4">
        <v>447</v>
      </c>
      <c r="G19" s="3">
        <v>529</v>
      </c>
      <c r="H19" s="3">
        <v>390</v>
      </c>
      <c r="J19" s="3">
        <v>554</v>
      </c>
      <c r="K19" s="3">
        <v>636</v>
      </c>
      <c r="L19" s="3">
        <v>421</v>
      </c>
    </row>
    <row r="20" spans="1:12" ht="15.75" customHeight="1" x14ac:dyDescent="0.25">
      <c r="A20" s="1" t="s">
        <v>28</v>
      </c>
      <c r="B20" s="1">
        <v>764</v>
      </c>
      <c r="C20" s="3">
        <v>749</v>
      </c>
      <c r="D20" s="3">
        <v>490</v>
      </c>
      <c r="F20" s="4">
        <v>477</v>
      </c>
      <c r="G20" s="3">
        <v>656</v>
      </c>
      <c r="H20" s="3">
        <v>429</v>
      </c>
      <c r="J20" s="3">
        <v>683</v>
      </c>
      <c r="K20" s="3">
        <v>781</v>
      </c>
      <c r="L20" s="3">
        <v>457</v>
      </c>
    </row>
    <row r="21" spans="1:12" ht="15.75" customHeight="1" x14ac:dyDescent="0.25">
      <c r="A21" s="1" t="s">
        <v>29</v>
      </c>
      <c r="B21" s="1">
        <v>737</v>
      </c>
      <c r="C21" s="3">
        <v>796</v>
      </c>
      <c r="D21" s="3">
        <v>507</v>
      </c>
      <c r="F21" s="4">
        <v>515</v>
      </c>
      <c r="G21" s="3">
        <v>635</v>
      </c>
      <c r="H21" s="3">
        <v>478</v>
      </c>
      <c r="J21" s="3">
        <v>732</v>
      </c>
      <c r="K21" s="3">
        <v>711</v>
      </c>
      <c r="L21" s="3">
        <v>539</v>
      </c>
    </row>
    <row r="22" spans="1:12" ht="15.75" customHeight="1" x14ac:dyDescent="0.25">
      <c r="A22" s="1" t="s">
        <v>30</v>
      </c>
      <c r="B22" s="1">
        <v>584</v>
      </c>
      <c r="C22" s="3">
        <v>687</v>
      </c>
      <c r="D22" s="3">
        <v>434</v>
      </c>
      <c r="F22" s="4">
        <v>429</v>
      </c>
      <c r="G22" s="3">
        <v>613</v>
      </c>
      <c r="H22" s="3">
        <v>359</v>
      </c>
      <c r="J22" s="3">
        <v>656</v>
      </c>
      <c r="K22" s="3">
        <v>739</v>
      </c>
      <c r="L22" s="3">
        <v>401</v>
      </c>
    </row>
    <row r="23" spans="1:12" ht="15.75" customHeight="1" x14ac:dyDescent="0.25">
      <c r="A23" s="1" t="s">
        <v>31</v>
      </c>
      <c r="B23" s="1">
        <v>611</v>
      </c>
      <c r="C23" s="3">
        <v>648</v>
      </c>
      <c r="D23" s="3">
        <v>408</v>
      </c>
      <c r="F23" s="4">
        <v>383</v>
      </c>
      <c r="G23" s="3">
        <v>483</v>
      </c>
      <c r="H23" s="3">
        <v>339</v>
      </c>
      <c r="J23" s="3">
        <v>563</v>
      </c>
      <c r="K23" s="3">
        <v>674</v>
      </c>
      <c r="L23" s="3">
        <v>384</v>
      </c>
    </row>
    <row r="24" spans="1:12" ht="15.75" customHeight="1" x14ac:dyDescent="0.25">
      <c r="A24" s="1" t="s">
        <v>32</v>
      </c>
      <c r="B24" s="1">
        <v>493</v>
      </c>
      <c r="C24" s="3">
        <v>638</v>
      </c>
      <c r="D24" s="3">
        <v>411</v>
      </c>
      <c r="F24" s="4">
        <v>370</v>
      </c>
      <c r="G24" s="3">
        <v>426</v>
      </c>
      <c r="H24" s="3">
        <v>295</v>
      </c>
      <c r="J24" s="3">
        <v>507</v>
      </c>
      <c r="K24" s="3">
        <v>644</v>
      </c>
      <c r="L24" s="3">
        <v>342</v>
      </c>
    </row>
    <row r="25" spans="1:12" ht="15.75" customHeight="1" x14ac:dyDescent="0.25">
      <c r="A25" s="1" t="s">
        <v>33</v>
      </c>
      <c r="B25" s="1">
        <v>378</v>
      </c>
      <c r="C25" s="3">
        <v>458</v>
      </c>
      <c r="D25" s="3">
        <v>308</v>
      </c>
      <c r="F25" s="4">
        <v>292</v>
      </c>
      <c r="G25" s="3">
        <v>372</v>
      </c>
      <c r="H25" s="3">
        <v>234</v>
      </c>
      <c r="J25" s="3">
        <v>366</v>
      </c>
      <c r="K25" s="3">
        <v>531</v>
      </c>
      <c r="L25" s="3">
        <v>279</v>
      </c>
    </row>
    <row r="26" spans="1:12" ht="15.75" customHeight="1" x14ac:dyDescent="0.25">
      <c r="A26" s="1" t="s">
        <v>34</v>
      </c>
      <c r="B26" s="1">
        <v>298</v>
      </c>
      <c r="C26" s="3">
        <v>403</v>
      </c>
      <c r="D26" s="3">
        <v>298</v>
      </c>
      <c r="F26" s="4">
        <v>353</v>
      </c>
      <c r="G26" s="3">
        <v>361</v>
      </c>
      <c r="H26" s="3">
        <v>258</v>
      </c>
      <c r="J26" s="3">
        <v>440</v>
      </c>
      <c r="K26" s="3">
        <v>515</v>
      </c>
      <c r="L26" s="3">
        <v>262</v>
      </c>
    </row>
    <row r="27" spans="1:12" ht="15.75" customHeight="1" x14ac:dyDescent="0.25">
      <c r="A27" s="1" t="s">
        <v>35</v>
      </c>
      <c r="B27" s="1">
        <v>305</v>
      </c>
      <c r="C27" s="3">
        <v>350</v>
      </c>
      <c r="D27" s="3">
        <v>236</v>
      </c>
      <c r="F27" s="4">
        <v>314</v>
      </c>
      <c r="G27" s="3">
        <v>326</v>
      </c>
      <c r="H27" s="3">
        <v>220</v>
      </c>
      <c r="J27" s="3">
        <v>383</v>
      </c>
      <c r="K27" s="3">
        <v>424</v>
      </c>
      <c r="L27" s="3">
        <v>236</v>
      </c>
    </row>
    <row r="28" spans="1:12" ht="15.75" customHeight="1" x14ac:dyDescent="0.25">
      <c r="A28" s="1" t="s">
        <v>36</v>
      </c>
      <c r="B28" s="1">
        <v>200</v>
      </c>
      <c r="C28" s="3">
        <v>252</v>
      </c>
      <c r="D28" s="3">
        <v>157</v>
      </c>
      <c r="F28" s="4">
        <v>231</v>
      </c>
      <c r="G28" s="3">
        <v>260</v>
      </c>
      <c r="H28" s="3">
        <v>158</v>
      </c>
      <c r="J28" s="3">
        <v>267</v>
      </c>
      <c r="K28" s="3">
        <v>312</v>
      </c>
      <c r="L28" s="3">
        <v>141</v>
      </c>
    </row>
    <row r="29" spans="1:12" ht="15.75" customHeight="1" x14ac:dyDescent="0.25">
      <c r="A29" s="1" t="s">
        <v>37</v>
      </c>
      <c r="B29" s="1">
        <v>205</v>
      </c>
      <c r="C29" s="3">
        <v>216</v>
      </c>
      <c r="D29" s="3">
        <v>118</v>
      </c>
      <c r="F29" s="4">
        <v>160</v>
      </c>
      <c r="G29" s="3">
        <v>156</v>
      </c>
      <c r="H29" s="3">
        <v>98</v>
      </c>
      <c r="J29" s="3">
        <v>167</v>
      </c>
      <c r="K29" s="3">
        <v>218</v>
      </c>
      <c r="L29" s="3">
        <v>92</v>
      </c>
    </row>
    <row r="30" spans="1:12" ht="15.75" customHeight="1" x14ac:dyDescent="0.25">
      <c r="A30" s="1" t="s">
        <v>38</v>
      </c>
      <c r="B30" s="1">
        <v>161</v>
      </c>
      <c r="C30" s="3">
        <v>215</v>
      </c>
      <c r="D30" s="3">
        <v>117</v>
      </c>
      <c r="F30" s="4">
        <v>172</v>
      </c>
      <c r="G30" s="3">
        <v>122</v>
      </c>
      <c r="H30" s="3">
        <v>57</v>
      </c>
      <c r="J30" s="3">
        <v>84</v>
      </c>
      <c r="K30" s="3">
        <v>126</v>
      </c>
      <c r="L30" s="3">
        <v>48</v>
      </c>
    </row>
    <row r="31" spans="1:12" ht="15.75" customHeight="1" x14ac:dyDescent="0.25">
      <c r="A31" s="1" t="s">
        <v>39</v>
      </c>
      <c r="B31" s="1">
        <v>8044</v>
      </c>
      <c r="C31" s="3">
        <v>8714</v>
      </c>
      <c r="D31" s="3">
        <v>5961</v>
      </c>
      <c r="F31" s="4">
        <v>5694</v>
      </c>
      <c r="G31" s="3">
        <v>6484</v>
      </c>
      <c r="H31" s="3">
        <v>4540</v>
      </c>
      <c r="J31" s="3">
        <v>6982</v>
      </c>
      <c r="K31" s="3">
        <v>8149</v>
      </c>
      <c r="L31" s="3">
        <v>5116</v>
      </c>
    </row>
    <row r="32" spans="1:12" ht="15.75" customHeight="1" x14ac:dyDescent="0.25">
      <c r="C32" s="3"/>
      <c r="D32" s="3"/>
      <c r="F32" s="4"/>
      <c r="G32" s="3"/>
      <c r="H32" s="3"/>
      <c r="J32" s="3"/>
      <c r="K32" s="3"/>
      <c r="L32" s="3"/>
    </row>
    <row r="33" spans="1:12" ht="15.75" customHeight="1" x14ac:dyDescent="0.25">
      <c r="A33" s="1" t="s">
        <v>40</v>
      </c>
      <c r="B33" s="1">
        <v>477</v>
      </c>
      <c r="C33" s="3">
        <v>546</v>
      </c>
      <c r="D33" s="3">
        <v>361</v>
      </c>
      <c r="F33" s="4">
        <v>145</v>
      </c>
      <c r="G33" s="3">
        <v>155</v>
      </c>
      <c r="H33" s="3">
        <v>112</v>
      </c>
      <c r="J33" s="3">
        <v>111</v>
      </c>
      <c r="K33" s="3">
        <v>250</v>
      </c>
      <c r="L33" s="3">
        <v>239</v>
      </c>
    </row>
    <row r="34" spans="1:12" ht="15.75" customHeight="1" x14ac:dyDescent="0.25">
      <c r="A34" s="1" t="s">
        <v>41</v>
      </c>
      <c r="B34" s="1">
        <v>1104</v>
      </c>
      <c r="C34" s="3">
        <v>1286</v>
      </c>
      <c r="D34" s="3">
        <v>819</v>
      </c>
      <c r="F34" s="4">
        <v>753</v>
      </c>
      <c r="G34" s="3">
        <v>909</v>
      </c>
      <c r="H34" s="3">
        <v>634</v>
      </c>
      <c r="J34" s="3">
        <v>1070</v>
      </c>
      <c r="K34" s="3">
        <v>1318</v>
      </c>
      <c r="L34" s="3">
        <v>726</v>
      </c>
    </row>
    <row r="35" spans="1:12" ht="15.75" customHeight="1" x14ac:dyDescent="0.25">
      <c r="A35" s="1" t="s">
        <v>42</v>
      </c>
      <c r="B35" s="1">
        <v>6422</v>
      </c>
      <c r="C35" s="3">
        <v>6823</v>
      </c>
      <c r="D35" s="3">
        <v>4757</v>
      </c>
      <c r="F35" s="4">
        <v>4024</v>
      </c>
      <c r="G35" s="3">
        <v>4852</v>
      </c>
      <c r="H35" s="3">
        <v>3510</v>
      </c>
      <c r="J35" s="3">
        <v>5310</v>
      </c>
      <c r="K35" s="3">
        <v>6275</v>
      </c>
      <c r="L35" s="3">
        <v>4151</v>
      </c>
    </row>
    <row r="36" spans="1:12" ht="15.75" customHeight="1" x14ac:dyDescent="0.25">
      <c r="A36" s="1" t="s">
        <v>43</v>
      </c>
      <c r="B36" s="1">
        <v>1008</v>
      </c>
      <c r="C36" s="3">
        <v>1221</v>
      </c>
      <c r="D36" s="3">
        <v>809</v>
      </c>
      <c r="F36" s="4">
        <v>1058</v>
      </c>
      <c r="G36" s="3">
        <v>1103</v>
      </c>
      <c r="H36" s="3">
        <v>734</v>
      </c>
      <c r="J36" s="3">
        <v>1257</v>
      </c>
      <c r="K36" s="3">
        <v>1469</v>
      </c>
      <c r="L36" s="3">
        <v>731</v>
      </c>
    </row>
    <row r="37" spans="1:12" ht="15.75" customHeight="1" x14ac:dyDescent="0.25">
      <c r="A37" s="1" t="s">
        <v>44</v>
      </c>
      <c r="B37" s="1">
        <v>614</v>
      </c>
      <c r="C37" s="3">
        <v>670</v>
      </c>
      <c r="D37" s="3">
        <v>395</v>
      </c>
      <c r="F37" s="4">
        <v>612</v>
      </c>
      <c r="G37" s="3">
        <v>529</v>
      </c>
      <c r="H37" s="3">
        <v>296</v>
      </c>
      <c r="J37" s="3">
        <v>415</v>
      </c>
      <c r="K37" s="3">
        <v>405</v>
      </c>
      <c r="L37" s="3">
        <v>234</v>
      </c>
    </row>
    <row r="38" spans="1:12" ht="15.75" customHeight="1" x14ac:dyDescent="0.25">
      <c r="A38" s="1" t="s">
        <v>39</v>
      </c>
      <c r="B38" s="1">
        <v>8044</v>
      </c>
      <c r="C38" s="3">
        <v>8714</v>
      </c>
      <c r="D38" s="3">
        <v>5961</v>
      </c>
      <c r="F38" s="4">
        <v>5694</v>
      </c>
      <c r="G38" s="3">
        <v>6484</v>
      </c>
      <c r="H38" s="3">
        <v>4540</v>
      </c>
      <c r="J38" s="3">
        <v>6982</v>
      </c>
      <c r="K38" s="3">
        <v>8149</v>
      </c>
      <c r="L38" s="3">
        <v>5116</v>
      </c>
    </row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1.25" defaultRowHeight="15" customHeight="1" x14ac:dyDescent="0.25"/>
  <cols>
    <col min="1" max="1" width="13.5" customWidth="1"/>
    <col min="2" max="2" width="11.25" customWidth="1"/>
    <col min="3" max="26" width="8.375" customWidth="1"/>
  </cols>
  <sheetData>
    <row r="1" spans="1:12" ht="15.75" customHeight="1" x14ac:dyDescent="0.25">
      <c r="A1" s="6">
        <v>46187</v>
      </c>
      <c r="F1" s="6">
        <v>46188</v>
      </c>
      <c r="J1" s="6">
        <v>46189</v>
      </c>
      <c r="K1" s="6"/>
    </row>
    <row r="2" spans="1:12" ht="15.75" customHeight="1" x14ac:dyDescent="0.25"/>
    <row r="3" spans="1:12" ht="15.75" customHeight="1" x14ac:dyDescent="0.25"/>
    <row r="4" spans="1:12" ht="15.75" customHeight="1" x14ac:dyDescent="0.25">
      <c r="A4" s="1" t="s">
        <v>45</v>
      </c>
      <c r="B4" s="1">
        <v>1</v>
      </c>
      <c r="C4" s="1">
        <v>2</v>
      </c>
      <c r="D4" s="1">
        <v>3</v>
      </c>
      <c r="F4" s="1">
        <v>1</v>
      </c>
      <c r="G4" s="1">
        <v>2</v>
      </c>
      <c r="H4" s="1">
        <v>3</v>
      </c>
      <c r="J4" s="1">
        <v>1</v>
      </c>
      <c r="K4" s="1">
        <v>2</v>
      </c>
      <c r="L4" s="1">
        <v>3</v>
      </c>
    </row>
    <row r="5" spans="1:12" ht="15.75" customHeight="1" x14ac:dyDescent="0.25"/>
    <row r="6" spans="1:12" ht="15.75" customHeight="1" x14ac:dyDescent="0.25">
      <c r="A6" s="3" t="s">
        <v>13</v>
      </c>
      <c r="B6" s="3" t="s">
        <v>14</v>
      </c>
    </row>
    <row r="7" spans="1:12" ht="15.75" customHeight="1" x14ac:dyDescent="0.25">
      <c r="A7" s="3" t="s">
        <v>15</v>
      </c>
      <c r="B7" s="3">
        <v>137</v>
      </c>
      <c r="C7" s="3">
        <v>140</v>
      </c>
      <c r="D7" s="3">
        <v>77</v>
      </c>
      <c r="F7" s="3">
        <v>146</v>
      </c>
      <c r="G7" s="3">
        <v>288</v>
      </c>
      <c r="H7" s="3">
        <v>112</v>
      </c>
      <c r="J7" s="3">
        <v>34</v>
      </c>
      <c r="K7" s="3">
        <v>44</v>
      </c>
      <c r="L7" s="3">
        <v>36</v>
      </c>
    </row>
    <row r="8" spans="1:12" ht="15.75" customHeight="1" x14ac:dyDescent="0.25">
      <c r="A8" s="3" t="s">
        <v>16</v>
      </c>
      <c r="B8" s="3">
        <v>49</v>
      </c>
      <c r="C8" s="3">
        <v>101</v>
      </c>
      <c r="D8" s="3">
        <v>40</v>
      </c>
      <c r="F8" s="3">
        <v>66</v>
      </c>
      <c r="G8" s="3">
        <v>154</v>
      </c>
      <c r="H8" s="3">
        <v>70</v>
      </c>
      <c r="J8" s="3">
        <v>19</v>
      </c>
      <c r="K8" s="3">
        <v>21</v>
      </c>
      <c r="L8" s="3">
        <v>7</v>
      </c>
    </row>
    <row r="9" spans="1:12" ht="15.75" customHeight="1" x14ac:dyDescent="0.25">
      <c r="A9" s="3" t="s">
        <v>17</v>
      </c>
      <c r="B9" s="3">
        <v>24</v>
      </c>
      <c r="C9" s="3">
        <v>49</v>
      </c>
      <c r="D9" s="3">
        <v>24</v>
      </c>
      <c r="F9" s="3">
        <v>45</v>
      </c>
      <c r="G9" s="3">
        <v>59</v>
      </c>
      <c r="H9" s="3">
        <v>25</v>
      </c>
      <c r="J9" s="3">
        <v>20</v>
      </c>
      <c r="K9" s="3">
        <v>17</v>
      </c>
      <c r="L9" s="3">
        <v>8</v>
      </c>
    </row>
    <row r="10" spans="1:12" ht="15.75" customHeight="1" x14ac:dyDescent="0.25">
      <c r="A10" s="3" t="s">
        <v>18</v>
      </c>
      <c r="B10" s="3">
        <v>30</v>
      </c>
      <c r="C10" s="3">
        <v>29</v>
      </c>
      <c r="D10" s="3">
        <v>21</v>
      </c>
      <c r="F10" s="3">
        <v>36</v>
      </c>
      <c r="G10" s="3">
        <v>37</v>
      </c>
      <c r="H10" s="3">
        <v>10</v>
      </c>
      <c r="J10" s="3">
        <v>18</v>
      </c>
      <c r="K10" s="3">
        <v>23</v>
      </c>
      <c r="L10" s="3">
        <v>12</v>
      </c>
    </row>
    <row r="11" spans="1:12" ht="15.75" customHeight="1" x14ac:dyDescent="0.25">
      <c r="A11" s="3" t="s">
        <v>19</v>
      </c>
      <c r="B11" s="3">
        <v>43</v>
      </c>
      <c r="C11" s="3">
        <v>44</v>
      </c>
      <c r="D11" s="3">
        <v>27</v>
      </c>
      <c r="F11" s="3">
        <v>21</v>
      </c>
      <c r="G11" s="3">
        <v>24</v>
      </c>
      <c r="H11" s="3">
        <v>11</v>
      </c>
      <c r="J11" s="3">
        <v>49</v>
      </c>
      <c r="K11" s="3">
        <v>59</v>
      </c>
      <c r="L11" s="3">
        <v>42</v>
      </c>
    </row>
    <row r="12" spans="1:12" ht="15.75" customHeight="1" x14ac:dyDescent="0.25">
      <c r="A12" s="3" t="s">
        <v>20</v>
      </c>
      <c r="B12" s="3">
        <v>66</v>
      </c>
      <c r="C12" s="3">
        <v>58</v>
      </c>
      <c r="D12" s="3">
        <v>35</v>
      </c>
      <c r="F12" s="3">
        <v>29</v>
      </c>
      <c r="G12" s="3">
        <v>30</v>
      </c>
      <c r="H12" s="3">
        <v>15</v>
      </c>
      <c r="J12" s="3">
        <v>225</v>
      </c>
      <c r="K12" s="3">
        <v>137</v>
      </c>
      <c r="L12" s="3">
        <v>107</v>
      </c>
    </row>
    <row r="13" spans="1:12" ht="15.75" customHeight="1" x14ac:dyDescent="0.25">
      <c r="A13" s="3" t="s">
        <v>21</v>
      </c>
      <c r="B13" s="3">
        <v>147</v>
      </c>
      <c r="C13" s="3">
        <v>114</v>
      </c>
      <c r="D13" s="3">
        <v>84</v>
      </c>
      <c r="F13" s="3">
        <v>59</v>
      </c>
      <c r="G13" s="3">
        <v>53</v>
      </c>
      <c r="H13" s="3">
        <v>26</v>
      </c>
      <c r="J13" s="3">
        <v>681</v>
      </c>
      <c r="K13" s="3">
        <v>522</v>
      </c>
      <c r="L13" s="3">
        <v>373</v>
      </c>
    </row>
    <row r="14" spans="1:12" ht="15.75" customHeight="1" x14ac:dyDescent="0.25">
      <c r="A14" s="3" t="s">
        <v>22</v>
      </c>
      <c r="B14" s="3">
        <v>213</v>
      </c>
      <c r="C14" s="3">
        <v>221</v>
      </c>
      <c r="D14" s="3">
        <v>173</v>
      </c>
      <c r="F14" s="3">
        <v>62</v>
      </c>
      <c r="G14" s="3">
        <v>89</v>
      </c>
      <c r="H14" s="3">
        <v>64</v>
      </c>
      <c r="J14" s="3">
        <v>797</v>
      </c>
      <c r="K14" s="3">
        <v>779</v>
      </c>
      <c r="L14" s="3">
        <v>589</v>
      </c>
    </row>
    <row r="15" spans="1:12" ht="15.75" customHeight="1" x14ac:dyDescent="0.25">
      <c r="A15" s="3" t="s">
        <v>23</v>
      </c>
      <c r="B15" s="3">
        <v>350</v>
      </c>
      <c r="C15" s="3">
        <v>374</v>
      </c>
      <c r="D15" s="3">
        <v>349</v>
      </c>
      <c r="F15" s="3">
        <v>99</v>
      </c>
      <c r="G15" s="3">
        <v>152</v>
      </c>
      <c r="H15" s="3">
        <v>149</v>
      </c>
      <c r="J15" s="3">
        <v>806</v>
      </c>
      <c r="K15" s="3">
        <v>749</v>
      </c>
      <c r="L15" s="3">
        <v>580</v>
      </c>
    </row>
    <row r="16" spans="1:12" ht="15.75" customHeight="1" x14ac:dyDescent="0.25">
      <c r="A16" s="3" t="s">
        <v>24</v>
      </c>
      <c r="B16" s="3">
        <v>545</v>
      </c>
      <c r="C16" s="3">
        <v>602</v>
      </c>
      <c r="D16" s="3">
        <v>496</v>
      </c>
      <c r="F16" s="3">
        <v>231</v>
      </c>
      <c r="G16" s="3">
        <v>267</v>
      </c>
      <c r="H16" s="3">
        <v>225</v>
      </c>
      <c r="J16" s="3">
        <v>613</v>
      </c>
      <c r="K16" s="3">
        <v>612</v>
      </c>
      <c r="L16" s="3">
        <v>465</v>
      </c>
    </row>
    <row r="17" spans="1:12" ht="15.75" customHeight="1" x14ac:dyDescent="0.25">
      <c r="A17" s="3" t="s">
        <v>25</v>
      </c>
      <c r="B17" s="3">
        <v>632</v>
      </c>
      <c r="C17" s="3">
        <v>622</v>
      </c>
      <c r="D17" s="3">
        <v>463</v>
      </c>
      <c r="F17" s="3">
        <v>448</v>
      </c>
      <c r="G17" s="3">
        <v>510</v>
      </c>
      <c r="H17" s="3">
        <v>417</v>
      </c>
      <c r="J17" s="3">
        <v>580</v>
      </c>
      <c r="K17" s="3">
        <v>594</v>
      </c>
      <c r="L17" s="3">
        <v>410</v>
      </c>
    </row>
    <row r="18" spans="1:12" ht="15.75" customHeight="1" x14ac:dyDescent="0.25">
      <c r="A18" s="3" t="s">
        <v>26</v>
      </c>
      <c r="B18" s="3">
        <v>679</v>
      </c>
      <c r="C18" s="3">
        <v>618</v>
      </c>
      <c r="D18" s="3">
        <v>512</v>
      </c>
      <c r="F18" s="3">
        <v>449</v>
      </c>
      <c r="G18" s="3">
        <v>559</v>
      </c>
      <c r="H18" s="3">
        <v>428</v>
      </c>
      <c r="J18" s="3">
        <v>609</v>
      </c>
      <c r="K18" s="3">
        <v>627</v>
      </c>
      <c r="L18" s="3">
        <v>406</v>
      </c>
    </row>
    <row r="19" spans="1:12" ht="15.75" customHeight="1" x14ac:dyDescent="0.25">
      <c r="A19" s="3" t="s">
        <v>27</v>
      </c>
      <c r="B19" s="3">
        <v>671</v>
      </c>
      <c r="C19" s="3">
        <v>684</v>
      </c>
      <c r="D19" s="3">
        <v>498</v>
      </c>
      <c r="F19" s="3">
        <v>517</v>
      </c>
      <c r="G19" s="3">
        <v>570</v>
      </c>
      <c r="H19" s="3">
        <v>481</v>
      </c>
      <c r="J19" s="3">
        <v>633</v>
      </c>
      <c r="K19" s="3">
        <v>653</v>
      </c>
      <c r="L19" s="3">
        <v>428</v>
      </c>
    </row>
    <row r="20" spans="1:12" ht="15.75" customHeight="1" x14ac:dyDescent="0.25">
      <c r="A20" s="3" t="s">
        <v>28</v>
      </c>
      <c r="B20" s="3">
        <v>728</v>
      </c>
      <c r="C20" s="3">
        <v>851</v>
      </c>
      <c r="D20" s="3">
        <v>580</v>
      </c>
      <c r="F20" s="3">
        <v>573</v>
      </c>
      <c r="G20" s="3">
        <v>637</v>
      </c>
      <c r="H20" s="3">
        <v>532</v>
      </c>
      <c r="J20" s="3">
        <v>647</v>
      </c>
      <c r="K20" s="3">
        <v>684</v>
      </c>
      <c r="L20" s="3">
        <v>453</v>
      </c>
    </row>
    <row r="21" spans="1:12" ht="15.75" customHeight="1" x14ac:dyDescent="0.25">
      <c r="A21" s="3" t="s">
        <v>29</v>
      </c>
      <c r="B21" s="3">
        <v>722</v>
      </c>
      <c r="C21" s="3">
        <v>800</v>
      </c>
      <c r="D21" s="3">
        <v>491</v>
      </c>
      <c r="F21" s="3">
        <v>585</v>
      </c>
      <c r="G21" s="3">
        <v>731</v>
      </c>
      <c r="H21" s="3">
        <v>476</v>
      </c>
      <c r="J21" s="3">
        <v>677</v>
      </c>
      <c r="K21" s="3">
        <v>828</v>
      </c>
      <c r="L21" s="3">
        <v>456</v>
      </c>
    </row>
    <row r="22" spans="1:12" ht="15.75" customHeight="1" x14ac:dyDescent="0.25">
      <c r="A22" s="3" t="s">
        <v>30</v>
      </c>
      <c r="B22" s="3">
        <v>607</v>
      </c>
      <c r="C22" s="3">
        <v>652</v>
      </c>
      <c r="D22" s="3">
        <v>454</v>
      </c>
      <c r="F22" s="3">
        <v>491</v>
      </c>
      <c r="G22" s="3">
        <v>604</v>
      </c>
      <c r="H22" s="3">
        <v>452</v>
      </c>
      <c r="J22" s="3">
        <v>749</v>
      </c>
      <c r="K22" s="3">
        <v>782</v>
      </c>
      <c r="L22" s="3">
        <v>466</v>
      </c>
    </row>
    <row r="23" spans="1:12" ht="15.75" customHeight="1" x14ac:dyDescent="0.25">
      <c r="A23" s="3" t="s">
        <v>31</v>
      </c>
      <c r="B23" s="3">
        <v>528</v>
      </c>
      <c r="C23" s="3">
        <v>672</v>
      </c>
      <c r="D23" s="3">
        <v>398</v>
      </c>
      <c r="F23" s="3">
        <v>447</v>
      </c>
      <c r="G23" s="3">
        <v>692</v>
      </c>
      <c r="H23" s="3">
        <v>375</v>
      </c>
      <c r="J23" s="3">
        <v>935</v>
      </c>
      <c r="K23" s="3">
        <v>840</v>
      </c>
      <c r="L23" s="3">
        <v>541</v>
      </c>
    </row>
    <row r="24" spans="1:12" ht="15.75" customHeight="1" x14ac:dyDescent="0.25">
      <c r="A24" s="3" t="s">
        <v>32</v>
      </c>
      <c r="B24" s="3">
        <v>479</v>
      </c>
      <c r="C24" s="3">
        <v>612</v>
      </c>
      <c r="D24" s="3">
        <v>336</v>
      </c>
      <c r="F24" s="3">
        <v>461</v>
      </c>
      <c r="G24" s="3">
        <v>535</v>
      </c>
      <c r="H24" s="3">
        <v>379</v>
      </c>
      <c r="J24" s="3">
        <v>949</v>
      </c>
      <c r="K24" s="3">
        <v>893</v>
      </c>
      <c r="L24" s="3">
        <v>511</v>
      </c>
    </row>
    <row r="25" spans="1:12" ht="15.75" customHeight="1" x14ac:dyDescent="0.25">
      <c r="A25" s="3" t="s">
        <v>33</v>
      </c>
      <c r="B25" s="3">
        <v>361</v>
      </c>
      <c r="C25" s="3">
        <v>471</v>
      </c>
      <c r="D25" s="3">
        <v>301</v>
      </c>
      <c r="F25" s="3">
        <v>372</v>
      </c>
      <c r="G25" s="3">
        <v>553</v>
      </c>
      <c r="H25" s="3">
        <v>303</v>
      </c>
      <c r="J25" s="3">
        <v>500</v>
      </c>
      <c r="K25" s="3">
        <v>554</v>
      </c>
      <c r="L25" s="3">
        <v>348</v>
      </c>
    </row>
    <row r="26" spans="1:12" ht="15.75" customHeight="1" x14ac:dyDescent="0.25">
      <c r="A26" s="3" t="s">
        <v>34</v>
      </c>
      <c r="B26" s="3">
        <v>325</v>
      </c>
      <c r="C26" s="3">
        <v>422</v>
      </c>
      <c r="D26" s="3">
        <v>279</v>
      </c>
      <c r="F26" s="3">
        <v>449</v>
      </c>
      <c r="G26" s="3">
        <v>567</v>
      </c>
      <c r="H26" s="3">
        <v>328</v>
      </c>
      <c r="J26" s="3">
        <v>372</v>
      </c>
      <c r="K26" s="3">
        <v>385</v>
      </c>
      <c r="L26" s="3">
        <v>301</v>
      </c>
    </row>
    <row r="27" spans="1:12" ht="15.75" customHeight="1" x14ac:dyDescent="0.25">
      <c r="A27" s="3" t="s">
        <v>35</v>
      </c>
      <c r="B27" s="3">
        <v>358</v>
      </c>
      <c r="C27" s="3">
        <v>406</v>
      </c>
      <c r="D27" s="3">
        <v>259</v>
      </c>
      <c r="F27" s="3">
        <v>307</v>
      </c>
      <c r="G27" s="3">
        <v>344</v>
      </c>
      <c r="H27" s="3">
        <v>246</v>
      </c>
      <c r="J27" s="3">
        <v>254</v>
      </c>
      <c r="K27" s="3">
        <v>308</v>
      </c>
      <c r="L27" s="3">
        <v>248</v>
      </c>
    </row>
    <row r="28" spans="1:12" ht="15.75" customHeight="1" x14ac:dyDescent="0.25">
      <c r="A28" s="3" t="s">
        <v>36</v>
      </c>
      <c r="B28" s="3">
        <v>228</v>
      </c>
      <c r="C28" s="3">
        <v>377</v>
      </c>
      <c r="D28" s="3">
        <v>178</v>
      </c>
      <c r="F28" s="3">
        <v>210</v>
      </c>
      <c r="G28" s="3">
        <v>267</v>
      </c>
      <c r="H28" s="3">
        <v>149</v>
      </c>
      <c r="J28" s="3">
        <v>203</v>
      </c>
      <c r="K28" s="3">
        <v>228</v>
      </c>
      <c r="L28" s="3">
        <v>198</v>
      </c>
    </row>
    <row r="29" spans="1:12" ht="15.75" customHeight="1" x14ac:dyDescent="0.25">
      <c r="A29" s="3" t="s">
        <v>37</v>
      </c>
      <c r="B29" s="3">
        <v>234</v>
      </c>
      <c r="C29" s="3">
        <v>284</v>
      </c>
      <c r="D29" s="3">
        <v>146</v>
      </c>
      <c r="F29" s="3">
        <v>117</v>
      </c>
      <c r="G29" s="3">
        <v>168</v>
      </c>
      <c r="H29" s="3">
        <v>113</v>
      </c>
      <c r="J29" s="3">
        <v>160</v>
      </c>
      <c r="K29" s="3">
        <v>268</v>
      </c>
      <c r="L29" s="3">
        <v>117</v>
      </c>
    </row>
    <row r="30" spans="1:12" ht="15.75" customHeight="1" x14ac:dyDescent="0.25">
      <c r="A30" s="3" t="s">
        <v>38</v>
      </c>
      <c r="B30" s="3">
        <v>163</v>
      </c>
      <c r="C30" s="3">
        <v>272</v>
      </c>
      <c r="D30" s="3">
        <v>145</v>
      </c>
      <c r="F30" s="3">
        <v>80</v>
      </c>
      <c r="G30" s="3">
        <v>97</v>
      </c>
      <c r="H30" s="3">
        <v>55</v>
      </c>
      <c r="J30" s="3">
        <v>91</v>
      </c>
      <c r="K30" s="3">
        <v>124</v>
      </c>
      <c r="L30" s="3">
        <v>69</v>
      </c>
    </row>
    <row r="31" spans="1:12" ht="15.75" customHeight="1" x14ac:dyDescent="0.25">
      <c r="A31" s="3" t="s">
        <v>39</v>
      </c>
      <c r="B31" s="3">
        <v>8319</v>
      </c>
      <c r="C31" s="3">
        <v>9475</v>
      </c>
      <c r="D31" s="3">
        <v>6366</v>
      </c>
      <c r="F31" s="3">
        <v>6300</v>
      </c>
      <c r="G31" s="3">
        <v>7987</v>
      </c>
      <c r="H31" s="3">
        <v>5441</v>
      </c>
      <c r="J31" s="3">
        <v>10621</v>
      </c>
      <c r="K31" s="3">
        <v>10731</v>
      </c>
      <c r="L31" s="3">
        <v>7171</v>
      </c>
    </row>
    <row r="32" spans="1:12" ht="15.75" customHeight="1" x14ac:dyDescent="0.25">
      <c r="A32" s="3"/>
      <c r="B32" s="3"/>
      <c r="C32" s="3"/>
      <c r="D32" s="3"/>
      <c r="F32" s="3"/>
      <c r="G32" s="3"/>
      <c r="H32" s="3"/>
      <c r="J32" s="3"/>
      <c r="K32" s="3"/>
      <c r="L32" s="3"/>
    </row>
    <row r="33" spans="1:12" ht="15.75" customHeight="1" x14ac:dyDescent="0.25">
      <c r="A33" s="3" t="s">
        <v>40</v>
      </c>
      <c r="B33" s="3">
        <v>563</v>
      </c>
      <c r="C33" s="3">
        <v>595</v>
      </c>
      <c r="D33" s="3">
        <v>522</v>
      </c>
      <c r="F33" s="3">
        <v>161</v>
      </c>
      <c r="G33" s="3">
        <v>241</v>
      </c>
      <c r="H33" s="3">
        <v>213</v>
      </c>
      <c r="J33" s="3">
        <v>1603</v>
      </c>
      <c r="K33" s="3">
        <v>1528</v>
      </c>
      <c r="L33" s="3">
        <v>1169</v>
      </c>
    </row>
    <row r="34" spans="1:12" ht="15.75" customHeight="1" x14ac:dyDescent="0.25">
      <c r="A34" s="3" t="s">
        <v>41</v>
      </c>
      <c r="B34" s="3">
        <v>1007</v>
      </c>
      <c r="C34" s="3">
        <v>1284</v>
      </c>
      <c r="D34" s="3">
        <v>734</v>
      </c>
      <c r="F34" s="3">
        <v>908</v>
      </c>
      <c r="G34" s="3">
        <v>1227</v>
      </c>
      <c r="H34" s="3">
        <v>754</v>
      </c>
      <c r="J34" s="3">
        <v>1884</v>
      </c>
      <c r="K34" s="3">
        <v>1733</v>
      </c>
      <c r="L34" s="3">
        <v>1052</v>
      </c>
    </row>
    <row r="35" spans="1:12" ht="15.75" customHeight="1" x14ac:dyDescent="0.25">
      <c r="A35" s="3" t="s">
        <v>42</v>
      </c>
      <c r="B35" s="3">
        <v>6515</v>
      </c>
      <c r="C35" s="3">
        <v>7179</v>
      </c>
      <c r="D35" s="3">
        <v>5051</v>
      </c>
      <c r="F35" s="3">
        <v>4735</v>
      </c>
      <c r="G35" s="3">
        <v>5899</v>
      </c>
      <c r="H35" s="3">
        <v>4281</v>
      </c>
      <c r="J35" s="3">
        <v>8495</v>
      </c>
      <c r="K35" s="3">
        <v>8595</v>
      </c>
      <c r="L35" s="3">
        <v>5653</v>
      </c>
    </row>
    <row r="36" spans="1:12" ht="15.75" customHeight="1" x14ac:dyDescent="0.25">
      <c r="A36" s="3" t="s">
        <v>43</v>
      </c>
      <c r="B36" s="3">
        <v>1145</v>
      </c>
      <c r="C36" s="3">
        <v>1489</v>
      </c>
      <c r="D36" s="3">
        <v>862</v>
      </c>
      <c r="F36" s="3">
        <v>1083</v>
      </c>
      <c r="G36" s="3">
        <v>1346</v>
      </c>
      <c r="H36" s="3">
        <v>836</v>
      </c>
      <c r="J36" s="3">
        <v>989</v>
      </c>
      <c r="K36" s="3">
        <v>1189</v>
      </c>
      <c r="L36" s="3">
        <v>864</v>
      </c>
    </row>
    <row r="37" spans="1:12" ht="15.75" customHeight="1" x14ac:dyDescent="0.25">
      <c r="A37" s="3" t="s">
        <v>44</v>
      </c>
      <c r="B37" s="3">
        <v>659</v>
      </c>
      <c r="C37" s="3">
        <v>807</v>
      </c>
      <c r="D37" s="3">
        <v>453</v>
      </c>
      <c r="F37" s="3">
        <v>482</v>
      </c>
      <c r="G37" s="3">
        <v>742</v>
      </c>
      <c r="H37" s="3">
        <v>324</v>
      </c>
      <c r="J37" s="3">
        <v>1137</v>
      </c>
      <c r="K37" s="3">
        <v>947</v>
      </c>
      <c r="L37" s="3">
        <v>654</v>
      </c>
    </row>
    <row r="38" spans="1:12" ht="15.75" customHeight="1" x14ac:dyDescent="0.25">
      <c r="A38" s="3" t="s">
        <v>39</v>
      </c>
      <c r="B38" s="3">
        <v>8319</v>
      </c>
      <c r="C38" s="3">
        <v>9475</v>
      </c>
      <c r="D38" s="3">
        <v>6366</v>
      </c>
      <c r="F38" s="3">
        <v>6300</v>
      </c>
      <c r="G38" s="3">
        <v>7987</v>
      </c>
      <c r="H38" s="3">
        <v>5441</v>
      </c>
      <c r="J38" s="3">
        <v>10621</v>
      </c>
      <c r="K38" s="3">
        <v>10731</v>
      </c>
      <c r="L38" s="3">
        <v>7171</v>
      </c>
    </row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topLeftCell="A5" workbookViewId="0">
      <selection activeCell="L7" sqref="L7"/>
    </sheetView>
  </sheetViews>
  <sheetFormatPr defaultColWidth="11.25" defaultRowHeight="15" customHeight="1" x14ac:dyDescent="0.25"/>
  <cols>
    <col min="1" max="1" width="13.75" customWidth="1"/>
    <col min="2" max="26" width="8.375" customWidth="1"/>
  </cols>
  <sheetData>
    <row r="1" spans="1:12" ht="15.75" customHeight="1" x14ac:dyDescent="0.25">
      <c r="B1" s="6">
        <v>46194</v>
      </c>
      <c r="F1" s="6">
        <v>46195</v>
      </c>
      <c r="J1" s="6">
        <v>46196</v>
      </c>
    </row>
    <row r="2" spans="1:12" ht="15.75" customHeight="1" x14ac:dyDescent="0.25"/>
    <row r="3" spans="1:12" ht="15.75" customHeight="1" x14ac:dyDescent="0.25"/>
    <row r="4" spans="1:12" ht="15.75" customHeight="1" x14ac:dyDescent="0.25">
      <c r="A4" s="1" t="s">
        <v>45</v>
      </c>
      <c r="B4" s="1">
        <v>1</v>
      </c>
      <c r="C4" s="1">
        <v>2</v>
      </c>
      <c r="D4" s="1">
        <v>3</v>
      </c>
      <c r="F4" s="1">
        <v>1</v>
      </c>
      <c r="G4" s="1">
        <v>2</v>
      </c>
      <c r="H4" s="1">
        <v>3</v>
      </c>
      <c r="J4" s="1">
        <v>1</v>
      </c>
      <c r="K4" s="1">
        <v>2</v>
      </c>
      <c r="L4" s="1">
        <v>3</v>
      </c>
    </row>
    <row r="5" spans="1:12" ht="15.75" customHeight="1" x14ac:dyDescent="0.25"/>
    <row r="6" spans="1:12" ht="15.75" customHeight="1" x14ac:dyDescent="0.25">
      <c r="A6" s="3" t="s">
        <v>13</v>
      </c>
      <c r="B6" s="3" t="s">
        <v>14</v>
      </c>
    </row>
    <row r="7" spans="1:12" ht="15.75" customHeight="1" x14ac:dyDescent="0.25">
      <c r="A7" s="3" t="s">
        <v>15</v>
      </c>
      <c r="B7" s="3">
        <v>91</v>
      </c>
      <c r="C7" s="3">
        <v>144</v>
      </c>
      <c r="D7" s="3">
        <v>62</v>
      </c>
      <c r="F7" s="3">
        <v>140</v>
      </c>
      <c r="G7" s="3">
        <v>153</v>
      </c>
      <c r="H7" s="3">
        <v>105</v>
      </c>
      <c r="J7" s="3">
        <v>42</v>
      </c>
      <c r="K7" s="3">
        <v>47</v>
      </c>
      <c r="L7" s="3">
        <v>22</v>
      </c>
    </row>
    <row r="8" spans="1:12" ht="15.75" customHeight="1" x14ac:dyDescent="0.25">
      <c r="A8" s="3" t="s">
        <v>16</v>
      </c>
      <c r="B8" s="3">
        <v>63</v>
      </c>
      <c r="C8" s="3">
        <v>86</v>
      </c>
      <c r="D8" s="3">
        <v>37</v>
      </c>
      <c r="F8" s="3">
        <v>105</v>
      </c>
      <c r="G8" s="3">
        <v>105</v>
      </c>
      <c r="H8" s="3">
        <v>89</v>
      </c>
      <c r="J8" s="3">
        <v>17</v>
      </c>
      <c r="K8" s="3">
        <v>36</v>
      </c>
      <c r="L8" s="3">
        <v>14</v>
      </c>
    </row>
    <row r="9" spans="1:12" ht="15.75" customHeight="1" x14ac:dyDescent="0.25">
      <c r="A9" s="3" t="s">
        <v>17</v>
      </c>
      <c r="B9" s="3">
        <v>37</v>
      </c>
      <c r="C9" s="3">
        <v>67</v>
      </c>
      <c r="D9" s="3">
        <v>19</v>
      </c>
      <c r="F9" s="3">
        <v>77</v>
      </c>
      <c r="G9" s="3">
        <v>63</v>
      </c>
      <c r="H9" s="3">
        <v>34</v>
      </c>
      <c r="J9" s="3">
        <v>11</v>
      </c>
      <c r="K9" s="3">
        <v>16</v>
      </c>
      <c r="L9" s="3">
        <v>7</v>
      </c>
    </row>
    <row r="10" spans="1:12" ht="15.75" customHeight="1" x14ac:dyDescent="0.25">
      <c r="A10" s="3" t="s">
        <v>18</v>
      </c>
      <c r="B10" s="3">
        <v>29</v>
      </c>
      <c r="C10" s="3">
        <v>26</v>
      </c>
      <c r="D10" s="3">
        <v>20</v>
      </c>
      <c r="F10" s="3">
        <v>47</v>
      </c>
      <c r="G10" s="3">
        <v>31</v>
      </c>
      <c r="H10" s="3">
        <v>14</v>
      </c>
      <c r="J10" s="3">
        <v>28</v>
      </c>
      <c r="K10" s="3">
        <v>34</v>
      </c>
      <c r="L10" s="3">
        <v>23</v>
      </c>
    </row>
    <row r="11" spans="1:12" ht="15.75" customHeight="1" x14ac:dyDescent="0.25">
      <c r="A11" s="3" t="s">
        <v>19</v>
      </c>
      <c r="B11" s="3">
        <v>51</v>
      </c>
      <c r="C11" s="3">
        <v>49</v>
      </c>
      <c r="D11" s="3">
        <v>26</v>
      </c>
      <c r="F11" s="3">
        <v>22</v>
      </c>
      <c r="G11" s="3">
        <v>24</v>
      </c>
      <c r="H11" s="3">
        <v>8</v>
      </c>
      <c r="J11" s="3">
        <v>55</v>
      </c>
      <c r="K11" s="3">
        <v>54</v>
      </c>
      <c r="L11" s="3">
        <v>34</v>
      </c>
    </row>
    <row r="12" spans="1:12" ht="15.75" customHeight="1" x14ac:dyDescent="0.25">
      <c r="A12" s="3" t="s">
        <v>20</v>
      </c>
      <c r="B12" s="3">
        <v>69</v>
      </c>
      <c r="C12" s="3">
        <v>68</v>
      </c>
      <c r="D12" s="3">
        <v>39</v>
      </c>
      <c r="F12" s="3">
        <v>24</v>
      </c>
      <c r="G12" s="3">
        <v>39</v>
      </c>
      <c r="H12" s="3">
        <v>15</v>
      </c>
      <c r="J12" s="3">
        <v>211</v>
      </c>
      <c r="K12" s="3">
        <v>118</v>
      </c>
      <c r="L12" s="3">
        <v>123</v>
      </c>
    </row>
    <row r="13" spans="1:12" ht="15.75" customHeight="1" x14ac:dyDescent="0.25">
      <c r="A13" s="3" t="s">
        <v>21</v>
      </c>
      <c r="B13" s="3">
        <v>162</v>
      </c>
      <c r="C13" s="3">
        <v>114</v>
      </c>
      <c r="D13" s="3">
        <v>62</v>
      </c>
      <c r="F13" s="3">
        <v>67</v>
      </c>
      <c r="G13" s="3">
        <v>65</v>
      </c>
      <c r="H13" s="3">
        <v>37</v>
      </c>
      <c r="J13" s="3">
        <v>683</v>
      </c>
      <c r="K13" s="3">
        <v>559</v>
      </c>
      <c r="L13" s="3">
        <v>336</v>
      </c>
    </row>
    <row r="14" spans="1:12" ht="15.75" customHeight="1" x14ac:dyDescent="0.25">
      <c r="A14" s="3" t="s">
        <v>22</v>
      </c>
      <c r="B14" s="3">
        <v>201</v>
      </c>
      <c r="C14" s="3">
        <v>208</v>
      </c>
      <c r="D14" s="3">
        <v>131</v>
      </c>
      <c r="F14" s="3">
        <v>66</v>
      </c>
      <c r="G14" s="3">
        <v>94</v>
      </c>
      <c r="H14" s="3">
        <v>62</v>
      </c>
      <c r="J14" s="3">
        <v>877</v>
      </c>
      <c r="K14" s="3">
        <v>781</v>
      </c>
      <c r="L14" s="3">
        <v>574</v>
      </c>
    </row>
    <row r="15" spans="1:12" ht="15.75" customHeight="1" x14ac:dyDescent="0.25">
      <c r="A15" s="3" t="s">
        <v>23</v>
      </c>
      <c r="B15" s="3">
        <v>376</v>
      </c>
      <c r="C15" s="3">
        <v>391</v>
      </c>
      <c r="D15" s="3">
        <v>218</v>
      </c>
      <c r="F15" s="3">
        <v>160</v>
      </c>
      <c r="G15" s="3">
        <v>172</v>
      </c>
      <c r="H15" s="3">
        <v>126</v>
      </c>
      <c r="J15" s="3">
        <v>738</v>
      </c>
      <c r="K15" s="3">
        <v>744</v>
      </c>
      <c r="L15" s="3">
        <v>566</v>
      </c>
    </row>
    <row r="16" spans="1:12" ht="15.75" customHeight="1" x14ac:dyDescent="0.25">
      <c r="A16" s="3" t="s">
        <v>24</v>
      </c>
      <c r="B16" s="3">
        <v>596</v>
      </c>
      <c r="C16" s="3">
        <v>559</v>
      </c>
      <c r="D16" s="3">
        <v>389</v>
      </c>
      <c r="F16" s="3">
        <v>286</v>
      </c>
      <c r="G16" s="3">
        <v>317</v>
      </c>
      <c r="H16" s="3">
        <v>351</v>
      </c>
      <c r="J16" s="3">
        <v>541</v>
      </c>
      <c r="K16" s="3">
        <v>642</v>
      </c>
      <c r="L16" s="3">
        <v>461</v>
      </c>
    </row>
    <row r="17" spans="1:12" ht="15.75" customHeight="1" x14ac:dyDescent="0.25">
      <c r="A17" s="3" t="s">
        <v>25</v>
      </c>
      <c r="B17" s="3">
        <v>642</v>
      </c>
      <c r="C17" s="3">
        <v>692</v>
      </c>
      <c r="D17" s="3">
        <v>449</v>
      </c>
      <c r="F17" s="3">
        <v>418</v>
      </c>
      <c r="G17" s="3">
        <v>471</v>
      </c>
      <c r="H17" s="3">
        <v>378</v>
      </c>
      <c r="J17" s="3">
        <v>615</v>
      </c>
      <c r="K17" s="3">
        <v>560</v>
      </c>
      <c r="L17" s="3">
        <v>427</v>
      </c>
    </row>
    <row r="18" spans="1:12" ht="15.75" customHeight="1" x14ac:dyDescent="0.25">
      <c r="A18" s="3" t="s">
        <v>26</v>
      </c>
      <c r="B18" s="3">
        <v>685</v>
      </c>
      <c r="C18" s="3">
        <v>650</v>
      </c>
      <c r="D18" s="3">
        <v>470</v>
      </c>
      <c r="F18" s="3">
        <v>764</v>
      </c>
      <c r="G18" s="3">
        <v>1065</v>
      </c>
      <c r="H18" s="3">
        <v>642</v>
      </c>
      <c r="J18" s="3">
        <v>630</v>
      </c>
      <c r="K18" s="3">
        <v>641</v>
      </c>
      <c r="L18" s="3">
        <v>425</v>
      </c>
    </row>
    <row r="19" spans="1:12" ht="15.75" customHeight="1" x14ac:dyDescent="0.25">
      <c r="A19" s="3" t="s">
        <v>27</v>
      </c>
      <c r="B19" s="3">
        <v>683</v>
      </c>
      <c r="C19" s="3">
        <v>669</v>
      </c>
      <c r="D19" s="3">
        <v>510</v>
      </c>
      <c r="F19" s="3">
        <v>670</v>
      </c>
      <c r="G19" s="3">
        <v>1270</v>
      </c>
      <c r="H19" s="3">
        <v>613</v>
      </c>
      <c r="J19" s="3">
        <v>628</v>
      </c>
      <c r="K19" s="3">
        <v>762</v>
      </c>
      <c r="L19" s="3">
        <v>400</v>
      </c>
    </row>
    <row r="20" spans="1:12" ht="15.75" customHeight="1" x14ac:dyDescent="0.25">
      <c r="A20" s="3" t="s">
        <v>28</v>
      </c>
      <c r="B20" s="3">
        <v>628</v>
      </c>
      <c r="C20" s="3">
        <v>661</v>
      </c>
      <c r="D20" s="3">
        <v>434</v>
      </c>
      <c r="F20" s="3">
        <v>812</v>
      </c>
      <c r="G20" s="3">
        <v>1043</v>
      </c>
      <c r="H20" s="3">
        <v>661</v>
      </c>
      <c r="J20" s="3">
        <v>597</v>
      </c>
      <c r="K20" s="3">
        <v>669</v>
      </c>
      <c r="L20" s="3">
        <v>425</v>
      </c>
    </row>
    <row r="21" spans="1:12" ht="15.75" customHeight="1" x14ac:dyDescent="0.25">
      <c r="A21" s="3" t="s">
        <v>29</v>
      </c>
      <c r="B21" s="3">
        <v>655</v>
      </c>
      <c r="C21" s="3">
        <v>699</v>
      </c>
      <c r="D21" s="3">
        <v>431</v>
      </c>
      <c r="F21" s="3">
        <v>818</v>
      </c>
      <c r="G21" s="3">
        <v>1332</v>
      </c>
      <c r="H21" s="3">
        <v>624</v>
      </c>
      <c r="J21" s="3">
        <v>710</v>
      </c>
      <c r="K21" s="3">
        <v>748</v>
      </c>
      <c r="L21" s="3">
        <v>451</v>
      </c>
    </row>
    <row r="22" spans="1:12" ht="15.75" customHeight="1" x14ac:dyDescent="0.25">
      <c r="A22" s="3" t="s">
        <v>30</v>
      </c>
      <c r="B22" s="3">
        <v>591</v>
      </c>
      <c r="C22" s="3">
        <v>600</v>
      </c>
      <c r="D22" s="3">
        <v>359</v>
      </c>
      <c r="F22" s="3">
        <v>565</v>
      </c>
      <c r="G22" s="3">
        <v>869</v>
      </c>
      <c r="H22" s="3">
        <v>391</v>
      </c>
      <c r="J22" s="3">
        <v>751</v>
      </c>
      <c r="K22" s="3">
        <v>792</v>
      </c>
      <c r="L22" s="3">
        <v>487</v>
      </c>
    </row>
    <row r="23" spans="1:12" ht="15.75" customHeight="1" x14ac:dyDescent="0.25">
      <c r="A23" s="3" t="s">
        <v>31</v>
      </c>
      <c r="B23" s="3">
        <v>497</v>
      </c>
      <c r="C23" s="3">
        <v>589</v>
      </c>
      <c r="D23" s="3">
        <v>313</v>
      </c>
      <c r="F23" s="3">
        <v>446</v>
      </c>
      <c r="G23" s="3">
        <v>732</v>
      </c>
      <c r="H23" s="3">
        <v>418</v>
      </c>
      <c r="J23" s="3">
        <v>903</v>
      </c>
      <c r="K23" s="3">
        <v>833</v>
      </c>
      <c r="L23" s="3">
        <v>560</v>
      </c>
    </row>
    <row r="24" spans="1:12" ht="15.75" customHeight="1" x14ac:dyDescent="0.25">
      <c r="A24" s="3" t="s">
        <v>32</v>
      </c>
      <c r="B24" s="3">
        <v>485</v>
      </c>
      <c r="C24" s="3">
        <v>563</v>
      </c>
      <c r="D24" s="3">
        <v>328</v>
      </c>
      <c r="F24" s="3">
        <v>391</v>
      </c>
      <c r="G24" s="3">
        <v>649</v>
      </c>
      <c r="H24" s="3">
        <v>278</v>
      </c>
      <c r="J24" s="3">
        <v>940</v>
      </c>
      <c r="K24" s="3">
        <v>932</v>
      </c>
      <c r="L24" s="3">
        <v>561</v>
      </c>
    </row>
    <row r="25" spans="1:12" ht="15.75" customHeight="1" x14ac:dyDescent="0.25">
      <c r="A25" s="3" t="s">
        <v>33</v>
      </c>
      <c r="B25" s="3">
        <v>317</v>
      </c>
      <c r="C25" s="3">
        <v>508</v>
      </c>
      <c r="D25" s="3">
        <v>302</v>
      </c>
      <c r="F25" s="3">
        <v>327</v>
      </c>
      <c r="G25" s="3">
        <v>470</v>
      </c>
      <c r="H25" s="3">
        <v>300</v>
      </c>
      <c r="J25" s="3">
        <v>494</v>
      </c>
      <c r="K25" s="3">
        <v>566</v>
      </c>
      <c r="L25" s="3">
        <v>360</v>
      </c>
    </row>
    <row r="26" spans="1:12" ht="15.75" customHeight="1" x14ac:dyDescent="0.25">
      <c r="A26" s="3" t="s">
        <v>34</v>
      </c>
      <c r="B26" s="3">
        <v>374</v>
      </c>
      <c r="C26" s="3">
        <v>445</v>
      </c>
      <c r="D26" s="3">
        <v>251</v>
      </c>
      <c r="F26" s="3">
        <v>369</v>
      </c>
      <c r="G26" s="3">
        <v>509</v>
      </c>
      <c r="H26" s="3">
        <v>267</v>
      </c>
      <c r="J26" s="3">
        <v>330</v>
      </c>
      <c r="K26" s="3">
        <v>348</v>
      </c>
      <c r="L26" s="3">
        <v>284</v>
      </c>
    </row>
    <row r="27" spans="1:12" ht="15.75" customHeight="1" x14ac:dyDescent="0.25">
      <c r="A27" s="3" t="s">
        <v>35</v>
      </c>
      <c r="B27" s="3">
        <v>334</v>
      </c>
      <c r="C27" s="3">
        <v>425</v>
      </c>
      <c r="D27" s="3">
        <v>248</v>
      </c>
      <c r="F27" s="3">
        <v>295</v>
      </c>
      <c r="G27" s="3">
        <v>381</v>
      </c>
      <c r="H27" s="3">
        <v>245</v>
      </c>
      <c r="J27" s="3">
        <v>243</v>
      </c>
      <c r="K27" s="3">
        <v>321</v>
      </c>
      <c r="L27" s="3">
        <v>223</v>
      </c>
    </row>
    <row r="28" spans="1:12" ht="15.75" customHeight="1" x14ac:dyDescent="0.25">
      <c r="A28" s="3" t="s">
        <v>36</v>
      </c>
      <c r="B28" s="3">
        <v>299</v>
      </c>
      <c r="C28" s="3">
        <v>346</v>
      </c>
      <c r="D28" s="3">
        <v>167</v>
      </c>
      <c r="F28" s="3">
        <v>209</v>
      </c>
      <c r="G28" s="3">
        <v>292</v>
      </c>
      <c r="H28" s="3">
        <v>167</v>
      </c>
      <c r="J28" s="3">
        <v>196</v>
      </c>
      <c r="K28" s="3">
        <v>234</v>
      </c>
      <c r="L28" s="3">
        <v>152</v>
      </c>
    </row>
    <row r="29" spans="1:12" ht="15.75" customHeight="1" x14ac:dyDescent="0.25">
      <c r="A29" s="3" t="s">
        <v>37</v>
      </c>
      <c r="B29" s="3">
        <v>221</v>
      </c>
      <c r="C29" s="3">
        <v>304</v>
      </c>
      <c r="D29" s="3">
        <v>162</v>
      </c>
      <c r="F29" s="3">
        <v>129</v>
      </c>
      <c r="G29" s="3">
        <v>157</v>
      </c>
      <c r="H29" s="3">
        <v>90</v>
      </c>
      <c r="J29" s="3">
        <v>153</v>
      </c>
      <c r="K29" s="3">
        <v>170</v>
      </c>
      <c r="L29" s="3">
        <v>136</v>
      </c>
    </row>
    <row r="30" spans="1:12" ht="15.75" customHeight="1" x14ac:dyDescent="0.25">
      <c r="A30" s="3" t="s">
        <v>38</v>
      </c>
      <c r="B30" s="3">
        <v>186</v>
      </c>
      <c r="C30" s="3">
        <v>262</v>
      </c>
      <c r="D30" s="3">
        <v>97</v>
      </c>
      <c r="F30" s="3">
        <v>80</v>
      </c>
      <c r="G30" s="3">
        <v>104</v>
      </c>
      <c r="H30" s="3">
        <v>46</v>
      </c>
      <c r="J30" s="3">
        <v>61</v>
      </c>
      <c r="K30" s="3">
        <v>109</v>
      </c>
      <c r="L30" s="3">
        <v>76</v>
      </c>
    </row>
    <row r="31" spans="1:12" ht="15.75" customHeight="1" x14ac:dyDescent="0.25">
      <c r="A31" s="3" t="s">
        <v>39</v>
      </c>
      <c r="B31" s="3">
        <v>8272</v>
      </c>
      <c r="C31" s="3">
        <v>9125</v>
      </c>
      <c r="D31" s="3">
        <v>5524</v>
      </c>
      <c r="F31" s="3">
        <v>7287</v>
      </c>
      <c r="G31" s="3">
        <v>10407</v>
      </c>
      <c r="H31" s="3">
        <v>5961</v>
      </c>
      <c r="J31" s="3">
        <v>10454</v>
      </c>
      <c r="K31" s="3">
        <v>10716</v>
      </c>
      <c r="L31" s="3">
        <v>7127</v>
      </c>
    </row>
    <row r="32" spans="1:12" ht="15.75" customHeight="1" x14ac:dyDescent="0.25">
      <c r="A32" s="3"/>
      <c r="B32" s="3"/>
      <c r="C32" s="3"/>
      <c r="D32" s="3"/>
      <c r="F32" s="3"/>
      <c r="G32" s="3"/>
      <c r="H32" s="3"/>
      <c r="J32" s="3"/>
      <c r="K32" s="3"/>
      <c r="L32" s="3"/>
    </row>
    <row r="33" spans="1:12" ht="15.75" customHeight="1" x14ac:dyDescent="0.25">
      <c r="A33" s="3" t="s">
        <v>40</v>
      </c>
      <c r="B33" s="3">
        <v>577</v>
      </c>
      <c r="C33" s="3">
        <v>599</v>
      </c>
      <c r="D33" s="3">
        <v>349</v>
      </c>
      <c r="F33" s="3">
        <v>226</v>
      </c>
      <c r="G33" s="3">
        <v>266</v>
      </c>
      <c r="H33" s="3">
        <v>188</v>
      </c>
      <c r="J33" s="3">
        <v>1615</v>
      </c>
      <c r="K33" s="3">
        <v>1525</v>
      </c>
      <c r="L33" s="3">
        <v>1140</v>
      </c>
    </row>
    <row r="34" spans="1:12" ht="15.75" customHeight="1" x14ac:dyDescent="0.25">
      <c r="A34" s="3" t="s">
        <v>41</v>
      </c>
      <c r="B34" s="3">
        <v>982</v>
      </c>
      <c r="C34" s="3">
        <v>1152</v>
      </c>
      <c r="D34" s="3">
        <v>641</v>
      </c>
      <c r="F34" s="3">
        <v>837</v>
      </c>
      <c r="G34" s="3">
        <v>1381</v>
      </c>
      <c r="H34" s="3">
        <v>696</v>
      </c>
      <c r="J34" s="3">
        <v>1843</v>
      </c>
      <c r="K34" s="3">
        <v>1765</v>
      </c>
      <c r="L34" s="3">
        <v>1121</v>
      </c>
    </row>
    <row r="35" spans="1:12" ht="15.75" customHeight="1" x14ac:dyDescent="0.25">
      <c r="A35" s="3" t="s">
        <v>42</v>
      </c>
      <c r="B35" s="3">
        <v>6356</v>
      </c>
      <c r="C35" s="3">
        <v>6789</v>
      </c>
      <c r="D35" s="3">
        <v>4334</v>
      </c>
      <c r="F35" s="3">
        <v>5723</v>
      </c>
      <c r="G35" s="3">
        <v>8484</v>
      </c>
      <c r="H35" s="3">
        <v>4844</v>
      </c>
      <c r="J35" s="3">
        <v>8424</v>
      </c>
      <c r="K35" s="3">
        <v>8670</v>
      </c>
      <c r="L35" s="3">
        <v>5697</v>
      </c>
    </row>
    <row r="36" spans="1:12" ht="15.75" customHeight="1" x14ac:dyDescent="0.25">
      <c r="A36" s="3" t="s">
        <v>43</v>
      </c>
      <c r="B36" s="3">
        <v>1228</v>
      </c>
      <c r="C36" s="3">
        <v>1520</v>
      </c>
      <c r="D36" s="3">
        <v>828</v>
      </c>
      <c r="F36" s="3">
        <v>1002</v>
      </c>
      <c r="G36" s="3">
        <v>1339</v>
      </c>
      <c r="H36" s="3">
        <v>769</v>
      </c>
      <c r="J36" s="3">
        <v>922</v>
      </c>
      <c r="K36" s="3">
        <v>1073</v>
      </c>
      <c r="L36" s="3">
        <v>795</v>
      </c>
    </row>
    <row r="37" spans="1:12" ht="15.75" customHeight="1" x14ac:dyDescent="0.25">
      <c r="A37" s="3" t="s">
        <v>44</v>
      </c>
      <c r="B37" s="3">
        <v>688</v>
      </c>
      <c r="C37" s="3">
        <v>816</v>
      </c>
      <c r="D37" s="3">
        <v>362</v>
      </c>
      <c r="F37" s="3">
        <v>562</v>
      </c>
      <c r="G37" s="3">
        <v>584</v>
      </c>
      <c r="H37" s="3">
        <v>348</v>
      </c>
      <c r="J37" s="3">
        <v>1108</v>
      </c>
      <c r="K37" s="3">
        <v>973</v>
      </c>
      <c r="L37" s="3">
        <v>635</v>
      </c>
    </row>
    <row r="38" spans="1:12" ht="15.75" customHeight="1" x14ac:dyDescent="0.25">
      <c r="A38" s="3" t="s">
        <v>39</v>
      </c>
      <c r="B38" s="3">
        <v>8272</v>
      </c>
      <c r="C38" s="3">
        <v>9125</v>
      </c>
      <c r="D38" s="3">
        <v>5524</v>
      </c>
      <c r="F38" s="3">
        <v>7287</v>
      </c>
      <c r="G38" s="3">
        <v>10407</v>
      </c>
      <c r="H38" s="3">
        <v>5961</v>
      </c>
      <c r="J38" s="3">
        <v>10454</v>
      </c>
      <c r="K38" s="3">
        <v>10716</v>
      </c>
      <c r="L38" s="3">
        <v>7127</v>
      </c>
    </row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922F-E2A0-435C-8979-EAD2736CEE52}">
  <dimension ref="A1:M27"/>
  <sheetViews>
    <sheetView tabSelected="1" workbookViewId="0">
      <selection activeCell="B3" sqref="B3"/>
    </sheetView>
  </sheetViews>
  <sheetFormatPr defaultRowHeight="15.75" x14ac:dyDescent="0.25"/>
  <cols>
    <col min="1" max="1" width="24.875" customWidth="1"/>
    <col min="2" max="4" width="10.125" bestFit="1" customWidth="1"/>
    <col min="5" max="7" width="12.375" bestFit="1" customWidth="1"/>
    <col min="8" max="10" width="11.125" bestFit="1" customWidth="1"/>
  </cols>
  <sheetData>
    <row r="1" spans="1:13" x14ac:dyDescent="0.25">
      <c r="A1" s="7" t="s">
        <v>47</v>
      </c>
    </row>
    <row r="3" spans="1:13" x14ac:dyDescent="0.25">
      <c r="A3" s="8" t="s">
        <v>48</v>
      </c>
      <c r="B3" s="8" t="s">
        <v>49</v>
      </c>
      <c r="C3" s="8" t="s">
        <v>50</v>
      </c>
      <c r="D3" s="8" t="s">
        <v>51</v>
      </c>
      <c r="E3" s="9" t="s">
        <v>52</v>
      </c>
      <c r="F3" s="9" t="s">
        <v>53</v>
      </c>
      <c r="G3" s="9" t="s">
        <v>54</v>
      </c>
      <c r="H3" s="10" t="s">
        <v>60</v>
      </c>
      <c r="I3" s="10" t="s">
        <v>61</v>
      </c>
      <c r="J3" s="10" t="s">
        <v>62</v>
      </c>
      <c r="K3" s="14" t="s">
        <v>63</v>
      </c>
      <c r="L3" s="15" t="s">
        <v>64</v>
      </c>
      <c r="M3" s="13" t="s">
        <v>65</v>
      </c>
    </row>
    <row r="4" spans="1:13" x14ac:dyDescent="0.25">
      <c r="A4">
        <v>0</v>
      </c>
      <c r="B4" s="11">
        <f>('07-06 - 09-06'!B7+'14-06 - 16-06'!B7+'21-06 - 23-06'!B7)/3</f>
        <v>115</v>
      </c>
      <c r="C4" s="11">
        <f>('07-06 - 09-06'!C7+'14-06 - 16-06'!C7+'21-06 - 23-06'!C7)/3</f>
        <v>135</v>
      </c>
      <c r="D4" s="11">
        <f>('07-06 - 09-06'!D7+'14-06 - 16-06'!D7+'21-06 - 23-06'!D7)/3</f>
        <v>76</v>
      </c>
      <c r="E4" s="11">
        <f>('07-06 - 09-06'!F7+'14-06 - 16-06'!F7+'21-06 - 23-06'!F7)/3</f>
        <v>149.33333333333334</v>
      </c>
      <c r="F4" s="11">
        <f>('07-06 - 09-06'!G7+'14-06 - 16-06'!G7+'21-06 - 23-06'!G7)/3</f>
        <v>200</v>
      </c>
      <c r="G4" s="11">
        <f>('07-06 - 09-06'!H7+'14-06 - 16-06'!H7+'21-06 - 23-06'!H7)/3</f>
        <v>100.33333333333333</v>
      </c>
      <c r="H4" s="11">
        <f>('07-06 - 09-06'!J7+'14-06 - 16-06'!J7+'21-06 - 23-06'!J7)/3</f>
        <v>54</v>
      </c>
      <c r="I4" s="11">
        <f>('07-06 - 09-06'!K7+'14-06 - 16-06'!K7+'21-06 - 23-06'!K7)/3</f>
        <v>57</v>
      </c>
      <c r="J4" s="11">
        <f>('07-06 - 09-06'!L7+'14-06 - 16-06'!L7+'21-06 - 23-06'!L7)/3</f>
        <v>33.666666666666664</v>
      </c>
      <c r="K4" s="16">
        <f>AVERAGE(B4:D4)</f>
        <v>108.66666666666667</v>
      </c>
      <c r="L4" s="16">
        <f>AVERAGE(E4:G4)</f>
        <v>149.88888888888889</v>
      </c>
      <c r="M4" s="16">
        <f>AVERAGE(H4:J4)</f>
        <v>48.222222222222221</v>
      </c>
    </row>
    <row r="5" spans="1:13" x14ac:dyDescent="0.25">
      <c r="A5">
        <v>1</v>
      </c>
      <c r="B5" s="11">
        <f>('07-06 - 09-06'!B8+'14-06 - 16-06'!B8+'21-06 - 23-06'!B8)/3</f>
        <v>54.666666666666664</v>
      </c>
      <c r="C5" s="11">
        <f>('07-06 - 09-06'!C8+'14-06 - 16-06'!C8+'21-06 - 23-06'!C8)/3</f>
        <v>84</v>
      </c>
      <c r="D5" s="11">
        <f>('07-06 - 09-06'!D8+'14-06 - 16-06'!D8+'21-06 - 23-06'!D8)/3</f>
        <v>39</v>
      </c>
      <c r="E5" s="11">
        <f>('07-06 - 09-06'!F8+'14-06 - 16-06'!F8+'21-06 - 23-06'!F8)/3</f>
        <v>88.333333333333329</v>
      </c>
      <c r="F5" s="11">
        <f>('07-06 - 09-06'!G8+'14-06 - 16-06'!G8+'21-06 - 23-06'!G8)/3</f>
        <v>111.33333333333333</v>
      </c>
      <c r="G5" s="11">
        <f>('07-06 - 09-06'!H8+'14-06 - 16-06'!H8+'21-06 - 23-06'!H8)/3</f>
        <v>77</v>
      </c>
      <c r="H5" s="11">
        <f>('07-06 - 09-06'!J8+'14-06 - 16-06'!J8+'21-06 - 23-06'!J8)/3</f>
        <v>37</v>
      </c>
      <c r="I5" s="11">
        <f>('07-06 - 09-06'!K8+'14-06 - 16-06'!K8+'21-06 - 23-06'!K8)/3</f>
        <v>34</v>
      </c>
      <c r="J5" s="11">
        <f>('07-06 - 09-06'!L8+'14-06 - 16-06'!L8+'21-06 - 23-06'!L8)/3</f>
        <v>13.333333333333334</v>
      </c>
      <c r="K5" s="16">
        <f t="shared" ref="K5:K27" si="0">AVERAGE(B5:D5)</f>
        <v>59.222222222222221</v>
      </c>
      <c r="L5" s="16">
        <f t="shared" ref="L5:L27" si="1">AVERAGE(E5:G5)</f>
        <v>92.222222222222214</v>
      </c>
      <c r="M5" s="16">
        <f t="shared" ref="M5:M27" si="2">AVERAGE(H5:J5)</f>
        <v>28.111111111111111</v>
      </c>
    </row>
    <row r="6" spans="1:13" x14ac:dyDescent="0.25">
      <c r="A6">
        <v>2</v>
      </c>
      <c r="B6" s="11">
        <f>('07-06 - 09-06'!B9+'14-06 - 16-06'!B9+'21-06 - 23-06'!B9)/3</f>
        <v>31.333333333333332</v>
      </c>
      <c r="C6" s="11">
        <f>('07-06 - 09-06'!C9+'14-06 - 16-06'!C9+'21-06 - 23-06'!C9)/3</f>
        <v>50.666666666666664</v>
      </c>
      <c r="D6" s="11">
        <f>('07-06 - 09-06'!D9+'14-06 - 16-06'!D9+'21-06 - 23-06'!D9)/3</f>
        <v>21.666666666666668</v>
      </c>
      <c r="E6" s="11">
        <f>('07-06 - 09-06'!F9+'14-06 - 16-06'!F9+'21-06 - 23-06'!F9)/3</f>
        <v>57.666666666666664</v>
      </c>
      <c r="F6" s="11">
        <f>('07-06 - 09-06'!G9+'14-06 - 16-06'!G9+'21-06 - 23-06'!G9)/3</f>
        <v>57.666666666666664</v>
      </c>
      <c r="G6" s="11">
        <f>('07-06 - 09-06'!H9+'14-06 - 16-06'!H9+'21-06 - 23-06'!H9)/3</f>
        <v>29.666666666666668</v>
      </c>
      <c r="H6" s="11">
        <f>('07-06 - 09-06'!J9+'14-06 - 16-06'!J9+'21-06 - 23-06'!J9)/3</f>
        <v>20.666666666666668</v>
      </c>
      <c r="I6" s="11">
        <f>('07-06 - 09-06'!K9+'14-06 - 16-06'!K9+'21-06 - 23-06'!K9)/3</f>
        <v>18</v>
      </c>
      <c r="J6" s="11">
        <f>('07-06 - 09-06'!L9+'14-06 - 16-06'!L9+'21-06 - 23-06'!L9)/3</f>
        <v>8.3333333333333339</v>
      </c>
      <c r="K6" s="16">
        <f t="shared" si="0"/>
        <v>34.555555555555557</v>
      </c>
      <c r="L6" s="16">
        <f t="shared" si="1"/>
        <v>48.333333333333336</v>
      </c>
      <c r="M6" s="16">
        <f t="shared" si="2"/>
        <v>15.66666666666667</v>
      </c>
    </row>
    <row r="7" spans="1:13" x14ac:dyDescent="0.25">
      <c r="A7">
        <v>3</v>
      </c>
      <c r="B7" s="11">
        <f>('07-06 - 09-06'!B10+'14-06 - 16-06'!B10+'21-06 - 23-06'!B10)/3</f>
        <v>27</v>
      </c>
      <c r="C7" s="11">
        <f>('07-06 - 09-06'!C10+'14-06 - 16-06'!C10+'21-06 - 23-06'!C10)/3</f>
        <v>25.666666666666668</v>
      </c>
      <c r="D7" s="11">
        <f>('07-06 - 09-06'!D10+'14-06 - 16-06'!D10+'21-06 - 23-06'!D10)/3</f>
        <v>19.666666666666668</v>
      </c>
      <c r="E7" s="11">
        <f>('07-06 - 09-06'!F10+'14-06 - 16-06'!F10+'21-06 - 23-06'!F10)/3</f>
        <v>35.333333333333336</v>
      </c>
      <c r="F7" s="11">
        <f>('07-06 - 09-06'!G10+'14-06 - 16-06'!G10+'21-06 - 23-06'!G10)/3</f>
        <v>31.666666666666668</v>
      </c>
      <c r="G7" s="11">
        <f>('07-06 - 09-06'!H10+'14-06 - 16-06'!H10+'21-06 - 23-06'!H10)/3</f>
        <v>12</v>
      </c>
      <c r="H7" s="11">
        <f>('07-06 - 09-06'!J10+'14-06 - 16-06'!J10+'21-06 - 23-06'!J10)/3</f>
        <v>22.333333333333332</v>
      </c>
      <c r="I7" s="11">
        <f>('07-06 - 09-06'!K10+'14-06 - 16-06'!K10+'21-06 - 23-06'!K10)/3</f>
        <v>21.666666666666668</v>
      </c>
      <c r="J7" s="11">
        <f>('07-06 - 09-06'!L10+'14-06 - 16-06'!L10+'21-06 - 23-06'!L10)/3</f>
        <v>15.666666666666666</v>
      </c>
      <c r="K7" s="16">
        <f t="shared" si="0"/>
        <v>24.111111111111114</v>
      </c>
      <c r="L7" s="16">
        <f t="shared" si="1"/>
        <v>26.333333333333332</v>
      </c>
      <c r="M7" s="16">
        <f t="shared" si="2"/>
        <v>19.888888888888889</v>
      </c>
    </row>
    <row r="8" spans="1:13" x14ac:dyDescent="0.25">
      <c r="A8">
        <v>4</v>
      </c>
      <c r="B8" s="11">
        <f>('07-06 - 09-06'!B11+'14-06 - 16-06'!B11+'21-06 - 23-06'!B11)/3</f>
        <v>49.333333333333336</v>
      </c>
      <c r="C8" s="11">
        <f>('07-06 - 09-06'!C11+'14-06 - 16-06'!C11+'21-06 - 23-06'!C11)/3</f>
        <v>48.333333333333336</v>
      </c>
      <c r="D8" s="11">
        <f>('07-06 - 09-06'!D11+'14-06 - 16-06'!D11+'21-06 - 23-06'!D11)/3</f>
        <v>23.333333333333332</v>
      </c>
      <c r="E8" s="11">
        <f>('07-06 - 09-06'!F11+'14-06 - 16-06'!F11+'21-06 - 23-06'!F11)/3</f>
        <v>20</v>
      </c>
      <c r="F8" s="11">
        <f>('07-06 - 09-06'!G11+'14-06 - 16-06'!G11+'21-06 - 23-06'!G11)/3</f>
        <v>23</v>
      </c>
      <c r="G8" s="11">
        <f>('07-06 - 09-06'!H11+'14-06 - 16-06'!H11+'21-06 - 23-06'!H11)/3</f>
        <v>7.666666666666667</v>
      </c>
      <c r="H8" s="11">
        <f>('07-06 - 09-06'!J11+'14-06 - 16-06'!J11+'21-06 - 23-06'!J11)/3</f>
        <v>42.333333333333336</v>
      </c>
      <c r="I8" s="11">
        <f>('07-06 - 09-06'!K11+'14-06 - 16-06'!K11+'21-06 - 23-06'!K11)/3</f>
        <v>43</v>
      </c>
      <c r="J8" s="11">
        <f>('07-06 - 09-06'!L11+'14-06 - 16-06'!L11+'21-06 - 23-06'!L11)/3</f>
        <v>29.666666666666668</v>
      </c>
      <c r="K8" s="16">
        <f t="shared" si="0"/>
        <v>40.333333333333336</v>
      </c>
      <c r="L8" s="16">
        <f t="shared" si="1"/>
        <v>16.888888888888889</v>
      </c>
      <c r="M8" s="16">
        <f t="shared" si="2"/>
        <v>38.333333333333336</v>
      </c>
    </row>
    <row r="9" spans="1:13" x14ac:dyDescent="0.25">
      <c r="A9">
        <v>5</v>
      </c>
      <c r="B9" s="11">
        <f>('07-06 - 09-06'!B12+'14-06 - 16-06'!B12+'21-06 - 23-06'!B12)/3</f>
        <v>67.333333333333329</v>
      </c>
      <c r="C9" s="11">
        <f>('07-06 - 09-06'!C12+'14-06 - 16-06'!C12+'21-06 - 23-06'!C12)/3</f>
        <v>58</v>
      </c>
      <c r="D9" s="11">
        <f>('07-06 - 09-06'!D12+'14-06 - 16-06'!D12+'21-06 - 23-06'!D12)/3</f>
        <v>34</v>
      </c>
      <c r="E9" s="11">
        <f>('07-06 - 09-06'!F12+'14-06 - 16-06'!F12+'21-06 - 23-06'!F12)/3</f>
        <v>28.333333333333332</v>
      </c>
      <c r="F9" s="11">
        <f>('07-06 - 09-06'!G12+'14-06 - 16-06'!G12+'21-06 - 23-06'!G12)/3</f>
        <v>31.666666666666668</v>
      </c>
      <c r="G9" s="11">
        <f>('07-06 - 09-06'!H12+'14-06 - 16-06'!H12+'21-06 - 23-06'!H12)/3</f>
        <v>14</v>
      </c>
      <c r="H9" s="11">
        <f>('07-06 - 09-06'!J12+'14-06 - 16-06'!J12+'21-06 - 23-06'!J12)/3</f>
        <v>159.66666666666666</v>
      </c>
      <c r="I9" s="11">
        <f>('07-06 - 09-06'!K12+'14-06 - 16-06'!K12+'21-06 - 23-06'!K12)/3</f>
        <v>95.333333333333329</v>
      </c>
      <c r="J9" s="11">
        <f>('07-06 - 09-06'!L12+'14-06 - 16-06'!L12+'21-06 - 23-06'!L12)/3</f>
        <v>88.666666666666671</v>
      </c>
      <c r="K9" s="16">
        <f t="shared" si="0"/>
        <v>53.111111111111107</v>
      </c>
      <c r="L9" s="16">
        <f t="shared" si="1"/>
        <v>24.666666666666668</v>
      </c>
      <c r="M9" s="16">
        <f t="shared" si="2"/>
        <v>114.55555555555556</v>
      </c>
    </row>
    <row r="10" spans="1:13" x14ac:dyDescent="0.25">
      <c r="A10">
        <v>6</v>
      </c>
      <c r="B10" s="11">
        <f>('07-06 - 09-06'!B13+'14-06 - 16-06'!B13+'21-06 - 23-06'!B13)/3</f>
        <v>139</v>
      </c>
      <c r="C10" s="11">
        <f>('07-06 - 09-06'!C13+'14-06 - 16-06'!C13+'21-06 - 23-06'!C13)/3</f>
        <v>113</v>
      </c>
      <c r="D10" s="11">
        <f>('07-06 - 09-06'!D13+'14-06 - 16-06'!D13+'21-06 - 23-06'!D13)/3</f>
        <v>70</v>
      </c>
      <c r="E10" s="11">
        <f>('07-06 - 09-06'!F13+'14-06 - 16-06'!F13+'21-06 - 23-06'!F13)/3</f>
        <v>62.333333333333336</v>
      </c>
      <c r="F10" s="11">
        <f>('07-06 - 09-06'!G13+'14-06 - 16-06'!G13+'21-06 - 23-06'!G13)/3</f>
        <v>55.333333333333336</v>
      </c>
      <c r="G10" s="11">
        <f>('07-06 - 09-06'!H13+'14-06 - 16-06'!H13+'21-06 - 23-06'!H13)/3</f>
        <v>29.333333333333332</v>
      </c>
      <c r="H10" s="11">
        <f>('07-06 - 09-06'!J13+'14-06 - 16-06'!J13+'21-06 - 23-06'!J13)/3</f>
        <v>472</v>
      </c>
      <c r="I10" s="11">
        <f>('07-06 - 09-06'!K13+'14-06 - 16-06'!K13+'21-06 - 23-06'!K13)/3</f>
        <v>386.33333333333331</v>
      </c>
      <c r="J10" s="11">
        <f>('07-06 - 09-06'!L13+'14-06 - 16-06'!L13+'21-06 - 23-06'!L13)/3</f>
        <v>254</v>
      </c>
      <c r="K10" s="16">
        <f t="shared" si="0"/>
        <v>107.33333333333333</v>
      </c>
      <c r="L10" s="16">
        <f t="shared" si="1"/>
        <v>49</v>
      </c>
      <c r="M10" s="16">
        <f t="shared" si="2"/>
        <v>370.77777777777777</v>
      </c>
    </row>
    <row r="11" spans="1:13" x14ac:dyDescent="0.25">
      <c r="A11">
        <v>7</v>
      </c>
      <c r="B11" s="11">
        <f>('07-06 - 09-06'!B14+'14-06 - 16-06'!B14+'21-06 - 23-06'!B14)/3</f>
        <v>201</v>
      </c>
      <c r="C11" s="11">
        <f>('07-06 - 09-06'!C14+'14-06 - 16-06'!C14+'21-06 - 23-06'!C14)/3</f>
        <v>221</v>
      </c>
      <c r="D11" s="11">
        <f>('07-06 - 09-06'!D14+'14-06 - 16-06'!D14+'21-06 - 23-06'!D14)/3</f>
        <v>146</v>
      </c>
      <c r="E11" s="11">
        <f>('07-06 - 09-06'!F14+'14-06 - 16-06'!F14+'21-06 - 23-06'!F14)/3</f>
        <v>59.333333333333336</v>
      </c>
      <c r="F11" s="11">
        <f>('07-06 - 09-06'!G14+'14-06 - 16-06'!G14+'21-06 - 23-06'!G14)/3</f>
        <v>81</v>
      </c>
      <c r="G11" s="11">
        <f>('07-06 - 09-06'!H14+'14-06 - 16-06'!H14+'21-06 - 23-06'!H14)/3</f>
        <v>55.333333333333336</v>
      </c>
      <c r="H11" s="11">
        <f>('07-06 - 09-06'!J14+'14-06 - 16-06'!J14+'21-06 - 23-06'!J14)/3</f>
        <v>573.33333333333337</v>
      </c>
      <c r="I11" s="11">
        <f>('07-06 - 09-06'!K14+'14-06 - 16-06'!K14+'21-06 - 23-06'!K14)/3</f>
        <v>553</v>
      </c>
      <c r="J11" s="11">
        <f>('07-06 - 09-06'!L14+'14-06 - 16-06'!L14+'21-06 - 23-06'!L14)/3</f>
        <v>419</v>
      </c>
      <c r="K11" s="16">
        <f t="shared" si="0"/>
        <v>189.33333333333334</v>
      </c>
      <c r="L11" s="16">
        <f t="shared" si="1"/>
        <v>65.222222222222229</v>
      </c>
      <c r="M11" s="16">
        <f t="shared" si="2"/>
        <v>515.1111111111112</v>
      </c>
    </row>
    <row r="12" spans="1:13" x14ac:dyDescent="0.25">
      <c r="A12">
        <v>8</v>
      </c>
      <c r="B12" s="11">
        <f>('07-06 - 09-06'!B15+'14-06 - 16-06'!B15+'21-06 - 23-06'!B15)/3</f>
        <v>338</v>
      </c>
      <c r="C12" s="11">
        <f>('07-06 - 09-06'!C15+'14-06 - 16-06'!C15+'21-06 - 23-06'!C15)/3</f>
        <v>359</v>
      </c>
      <c r="D12" s="11">
        <f>('07-06 - 09-06'!D15+'14-06 - 16-06'!D15+'21-06 - 23-06'!D15)/3</f>
        <v>264.66666666666669</v>
      </c>
      <c r="E12" s="11">
        <f>('07-06 - 09-06'!F15+'14-06 - 16-06'!F15+'21-06 - 23-06'!F15)/3</f>
        <v>118</v>
      </c>
      <c r="F12" s="11">
        <f>('07-06 - 09-06'!G15+'14-06 - 16-06'!G15+'21-06 - 23-06'!G15)/3</f>
        <v>139.66666666666666</v>
      </c>
      <c r="G12" s="11">
        <f>('07-06 - 09-06'!H15+'14-06 - 16-06'!H15+'21-06 - 23-06'!H15)/3</f>
        <v>115.66666666666667</v>
      </c>
      <c r="H12" s="11">
        <f>('07-06 - 09-06'!J15+'14-06 - 16-06'!J15+'21-06 - 23-06'!J15)/3</f>
        <v>536.33333333333337</v>
      </c>
      <c r="I12" s="11">
        <f>('07-06 - 09-06'!K15+'14-06 - 16-06'!K15+'21-06 - 23-06'!K15)/3</f>
        <v>548</v>
      </c>
      <c r="J12" s="11">
        <f>('07-06 - 09-06'!L15+'14-06 - 16-06'!L15+'21-06 - 23-06'!L15)/3</f>
        <v>430.33333333333331</v>
      </c>
      <c r="K12" s="16">
        <f t="shared" si="0"/>
        <v>320.5555555555556</v>
      </c>
      <c r="L12" s="16">
        <f t="shared" si="1"/>
        <v>124.44444444444444</v>
      </c>
      <c r="M12" s="16">
        <f t="shared" si="2"/>
        <v>504.88888888888891</v>
      </c>
    </row>
    <row r="13" spans="1:13" x14ac:dyDescent="0.25">
      <c r="A13">
        <v>9</v>
      </c>
      <c r="B13" s="11">
        <f>('07-06 - 09-06'!B16+'14-06 - 16-06'!B16+'21-06 - 23-06'!B16)/3</f>
        <v>542.33333333333337</v>
      </c>
      <c r="C13" s="11">
        <f>('07-06 - 09-06'!C16+'14-06 - 16-06'!C16+'21-06 - 23-06'!C16)/3</f>
        <v>543.33333333333337</v>
      </c>
      <c r="D13" s="11">
        <f>('07-06 - 09-06'!D16+'14-06 - 16-06'!D16+'21-06 - 23-06'!D16)/3</f>
        <v>434</v>
      </c>
      <c r="E13" s="11">
        <f>('07-06 - 09-06'!F16+'14-06 - 16-06'!F16+'21-06 - 23-06'!F16)/3</f>
        <v>251</v>
      </c>
      <c r="F13" s="11">
        <f>('07-06 - 09-06'!G16+'14-06 - 16-06'!G16+'21-06 - 23-06'!G16)/3</f>
        <v>268</v>
      </c>
      <c r="G13" s="11">
        <f>('07-06 - 09-06'!H16+'14-06 - 16-06'!H16+'21-06 - 23-06'!H16)/3</f>
        <v>259.33333333333331</v>
      </c>
      <c r="H13" s="11">
        <f>('07-06 - 09-06'!J16+'14-06 - 16-06'!J16+'21-06 - 23-06'!J16)/3</f>
        <v>467</v>
      </c>
      <c r="I13" s="11">
        <f>('07-06 - 09-06'!K16+'14-06 - 16-06'!K16+'21-06 - 23-06'!K16)/3</f>
        <v>512.66666666666663</v>
      </c>
      <c r="J13" s="11">
        <f>('07-06 - 09-06'!L16+'14-06 - 16-06'!L16+'21-06 - 23-06'!L16)/3</f>
        <v>392.66666666666669</v>
      </c>
      <c r="K13" s="16">
        <f t="shared" si="0"/>
        <v>506.5555555555556</v>
      </c>
      <c r="L13" s="16">
        <f t="shared" si="1"/>
        <v>259.4444444444444</v>
      </c>
      <c r="M13" s="16">
        <f t="shared" si="2"/>
        <v>457.4444444444444</v>
      </c>
    </row>
    <row r="14" spans="1:13" x14ac:dyDescent="0.25">
      <c r="A14">
        <v>10</v>
      </c>
      <c r="B14" s="11">
        <f>('07-06 - 09-06'!B17+'14-06 - 16-06'!B17+'21-06 - 23-06'!B17)/3</f>
        <v>621.33333333333337</v>
      </c>
      <c r="C14" s="11">
        <f>('07-06 - 09-06'!C17+'14-06 - 16-06'!C17+'21-06 - 23-06'!C17)/3</f>
        <v>624.66666666666663</v>
      </c>
      <c r="D14" s="11">
        <f>('07-06 - 09-06'!D17+'14-06 - 16-06'!D17+'21-06 - 23-06'!D17)/3</f>
        <v>463.33333333333331</v>
      </c>
      <c r="E14" s="11">
        <f>('07-06 - 09-06'!F17+'14-06 - 16-06'!F17+'21-06 - 23-06'!F17)/3</f>
        <v>404</v>
      </c>
      <c r="F14" s="11">
        <f>('07-06 - 09-06'!G17+'14-06 - 16-06'!G17+'21-06 - 23-06'!G17)/3</f>
        <v>449.66666666666669</v>
      </c>
      <c r="G14" s="11">
        <f>('07-06 - 09-06'!H17+'14-06 - 16-06'!H17+'21-06 - 23-06'!H17)/3</f>
        <v>379.66666666666669</v>
      </c>
      <c r="H14" s="11">
        <f>('07-06 - 09-06'!J17+'14-06 - 16-06'!J17+'21-06 - 23-06'!J17)/3</f>
        <v>534.33333333333337</v>
      </c>
      <c r="I14" s="11">
        <f>('07-06 - 09-06'!K17+'14-06 - 16-06'!K17+'21-06 - 23-06'!K17)/3</f>
        <v>548.66666666666663</v>
      </c>
      <c r="J14" s="11">
        <f>('07-06 - 09-06'!L17+'14-06 - 16-06'!L17+'21-06 - 23-06'!L17)/3</f>
        <v>410.33333333333331</v>
      </c>
      <c r="K14" s="16">
        <f t="shared" si="0"/>
        <v>569.77777777777771</v>
      </c>
      <c r="L14" s="16">
        <f t="shared" si="1"/>
        <v>411.11111111111114</v>
      </c>
      <c r="M14" s="16">
        <f t="shared" si="2"/>
        <v>497.77777777777777</v>
      </c>
    </row>
    <row r="15" spans="1:13" x14ac:dyDescent="0.25">
      <c r="A15">
        <v>11</v>
      </c>
      <c r="B15" s="11">
        <f>('07-06 - 09-06'!B18+'14-06 - 16-06'!B18+'21-06 - 23-06'!B18)/3</f>
        <v>663.66666666666663</v>
      </c>
      <c r="C15" s="11">
        <f>('07-06 - 09-06'!C18+'14-06 - 16-06'!C18+'21-06 - 23-06'!C18)/3</f>
        <v>619</v>
      </c>
      <c r="D15" s="11">
        <f>('07-06 - 09-06'!D18+'14-06 - 16-06'!D18+'21-06 - 23-06'!D18)/3</f>
        <v>484.33333333333331</v>
      </c>
      <c r="E15" s="11">
        <f>('07-06 - 09-06'!F18+'14-06 - 16-06'!F18+'21-06 - 23-06'!F18)/3</f>
        <v>532.33333333333337</v>
      </c>
      <c r="F15" s="11">
        <f>('07-06 - 09-06'!G18+'14-06 - 16-06'!G18+'21-06 - 23-06'!G18)/3</f>
        <v>673</v>
      </c>
      <c r="G15" s="11">
        <f>('07-06 - 09-06'!H18+'14-06 - 16-06'!H18+'21-06 - 23-06'!H18)/3</f>
        <v>466</v>
      </c>
      <c r="H15" s="11">
        <f>('07-06 - 09-06'!J18+'14-06 - 16-06'!J18+'21-06 - 23-06'!J18)/3</f>
        <v>574</v>
      </c>
      <c r="I15" s="11">
        <f>('07-06 - 09-06'!K18+'14-06 - 16-06'!K18+'21-06 - 23-06'!K18)/3</f>
        <v>600.33333333333337</v>
      </c>
      <c r="J15" s="11">
        <f>('07-06 - 09-06'!L18+'14-06 - 16-06'!L18+'21-06 - 23-06'!L18)/3</f>
        <v>424.66666666666669</v>
      </c>
      <c r="K15" s="16">
        <f t="shared" si="0"/>
        <v>588.99999999999989</v>
      </c>
      <c r="L15" s="16">
        <f t="shared" si="1"/>
        <v>557.1111111111112</v>
      </c>
      <c r="M15" s="16">
        <f t="shared" si="2"/>
        <v>533.00000000000011</v>
      </c>
    </row>
    <row r="16" spans="1:13" x14ac:dyDescent="0.25">
      <c r="A16">
        <v>12</v>
      </c>
      <c r="B16" s="11">
        <f>('07-06 - 09-06'!B19+'14-06 - 16-06'!B19+'21-06 - 23-06'!B19)/3</f>
        <v>676.33333333333337</v>
      </c>
      <c r="C16" s="11">
        <f>('07-06 - 09-06'!C19+'14-06 - 16-06'!C19+'21-06 - 23-06'!C19)/3</f>
        <v>678.66666666666663</v>
      </c>
      <c r="D16" s="11">
        <f>('07-06 - 09-06'!D19+'14-06 - 16-06'!D19+'21-06 - 23-06'!D19)/3</f>
        <v>493.33333333333331</v>
      </c>
      <c r="E16" s="11">
        <f>('07-06 - 09-06'!F19+'14-06 - 16-06'!F19+'21-06 - 23-06'!F19)/3</f>
        <v>544.66666666666663</v>
      </c>
      <c r="F16" s="11">
        <f>('07-06 - 09-06'!G19+'14-06 - 16-06'!G19+'21-06 - 23-06'!G19)/3</f>
        <v>789.66666666666663</v>
      </c>
      <c r="G16" s="11">
        <f>('07-06 - 09-06'!H19+'14-06 - 16-06'!H19+'21-06 - 23-06'!H19)/3</f>
        <v>494.66666666666669</v>
      </c>
      <c r="H16" s="11">
        <f>('07-06 - 09-06'!J19+'14-06 - 16-06'!J19+'21-06 - 23-06'!J19)/3</f>
        <v>605</v>
      </c>
      <c r="I16" s="11">
        <f>('07-06 - 09-06'!K19+'14-06 - 16-06'!K19+'21-06 - 23-06'!K19)/3</f>
        <v>683.66666666666663</v>
      </c>
      <c r="J16" s="11">
        <f>('07-06 - 09-06'!L19+'14-06 - 16-06'!L19+'21-06 - 23-06'!L19)/3</f>
        <v>416.33333333333331</v>
      </c>
      <c r="K16" s="16">
        <f t="shared" si="0"/>
        <v>616.11111111111109</v>
      </c>
      <c r="L16" s="16">
        <f t="shared" si="1"/>
        <v>609.66666666666663</v>
      </c>
      <c r="M16" s="16">
        <f t="shared" si="2"/>
        <v>568.33333333333326</v>
      </c>
    </row>
    <row r="17" spans="1:13" x14ac:dyDescent="0.25">
      <c r="A17">
        <v>13</v>
      </c>
      <c r="B17" s="11">
        <f>('07-06 - 09-06'!B20+'14-06 - 16-06'!B20+'21-06 - 23-06'!B20)/3</f>
        <v>706.66666666666663</v>
      </c>
      <c r="C17" s="11">
        <f>('07-06 - 09-06'!C20+'14-06 - 16-06'!C20+'21-06 - 23-06'!C20)/3</f>
        <v>753.66666666666663</v>
      </c>
      <c r="D17" s="11">
        <f>('07-06 - 09-06'!D20+'14-06 - 16-06'!D20+'21-06 - 23-06'!D20)/3</f>
        <v>501.33333333333331</v>
      </c>
      <c r="E17" s="11">
        <f>('07-06 - 09-06'!F20+'14-06 - 16-06'!F20+'21-06 - 23-06'!F20)/3</f>
        <v>620.66666666666663</v>
      </c>
      <c r="F17" s="11">
        <f>('07-06 - 09-06'!G20+'14-06 - 16-06'!G20+'21-06 - 23-06'!G20)/3</f>
        <v>778.66666666666663</v>
      </c>
      <c r="G17" s="11">
        <f>('07-06 - 09-06'!H20+'14-06 - 16-06'!H20+'21-06 - 23-06'!H20)/3</f>
        <v>540.66666666666663</v>
      </c>
      <c r="H17" s="11">
        <f>('07-06 - 09-06'!J20+'14-06 - 16-06'!J20+'21-06 - 23-06'!J20)/3</f>
        <v>642.33333333333337</v>
      </c>
      <c r="I17" s="11">
        <f>('07-06 - 09-06'!K20+'14-06 - 16-06'!K20+'21-06 - 23-06'!K20)/3</f>
        <v>711.33333333333337</v>
      </c>
      <c r="J17" s="11">
        <f>('07-06 - 09-06'!L20+'14-06 - 16-06'!L20+'21-06 - 23-06'!L20)/3</f>
        <v>445</v>
      </c>
      <c r="K17" s="16">
        <f t="shared" si="0"/>
        <v>653.8888888888888</v>
      </c>
      <c r="L17" s="16">
        <f t="shared" si="1"/>
        <v>646.66666666666663</v>
      </c>
      <c r="M17" s="16">
        <f t="shared" si="2"/>
        <v>599.55555555555554</v>
      </c>
    </row>
    <row r="18" spans="1:13" x14ac:dyDescent="0.25">
      <c r="A18">
        <v>14</v>
      </c>
      <c r="B18" s="11">
        <f>('07-06 - 09-06'!B21+'14-06 - 16-06'!B21+'21-06 - 23-06'!B21)/3</f>
        <v>704.66666666666663</v>
      </c>
      <c r="C18" s="11">
        <f>('07-06 - 09-06'!C21+'14-06 - 16-06'!C21+'21-06 - 23-06'!C21)/3</f>
        <v>765</v>
      </c>
      <c r="D18" s="11">
        <f>('07-06 - 09-06'!D21+'14-06 - 16-06'!D21+'21-06 - 23-06'!D21)/3</f>
        <v>476.33333333333331</v>
      </c>
      <c r="E18" s="11">
        <f>('07-06 - 09-06'!F21+'14-06 - 16-06'!F21+'21-06 - 23-06'!F21)/3</f>
        <v>639.33333333333337</v>
      </c>
      <c r="F18" s="11">
        <f>('07-06 - 09-06'!G21+'14-06 - 16-06'!G21+'21-06 - 23-06'!G21)/3</f>
        <v>899.33333333333337</v>
      </c>
      <c r="G18" s="11">
        <f>('07-06 - 09-06'!H21+'14-06 - 16-06'!H21+'21-06 - 23-06'!H21)/3</f>
        <v>526</v>
      </c>
      <c r="H18" s="11">
        <f>('07-06 - 09-06'!J21+'14-06 - 16-06'!J21+'21-06 - 23-06'!J21)/3</f>
        <v>706.33333333333337</v>
      </c>
      <c r="I18" s="11">
        <f>('07-06 - 09-06'!K21+'14-06 - 16-06'!K21+'21-06 - 23-06'!K21)/3</f>
        <v>762.33333333333337</v>
      </c>
      <c r="J18" s="11">
        <f>('07-06 - 09-06'!L21+'14-06 - 16-06'!L21+'21-06 - 23-06'!L21)/3</f>
        <v>482</v>
      </c>
      <c r="K18" s="16">
        <f t="shared" si="0"/>
        <v>648.66666666666663</v>
      </c>
      <c r="L18" s="16">
        <f t="shared" si="1"/>
        <v>688.22222222222229</v>
      </c>
      <c r="M18" s="16">
        <f t="shared" si="2"/>
        <v>650.22222222222229</v>
      </c>
    </row>
    <row r="19" spans="1:13" x14ac:dyDescent="0.25">
      <c r="A19">
        <v>15</v>
      </c>
      <c r="B19" s="11">
        <f>('07-06 - 09-06'!B22+'14-06 - 16-06'!B22+'21-06 - 23-06'!B22)/3</f>
        <v>594</v>
      </c>
      <c r="C19" s="11">
        <f>('07-06 - 09-06'!C22+'14-06 - 16-06'!C22+'21-06 - 23-06'!C22)/3</f>
        <v>646.33333333333337</v>
      </c>
      <c r="D19" s="11">
        <f>('07-06 - 09-06'!D22+'14-06 - 16-06'!D22+'21-06 - 23-06'!D22)/3</f>
        <v>415.66666666666669</v>
      </c>
      <c r="E19" s="11">
        <f>('07-06 - 09-06'!F22+'14-06 - 16-06'!F22+'21-06 - 23-06'!F22)/3</f>
        <v>495</v>
      </c>
      <c r="F19" s="11">
        <f>('07-06 - 09-06'!G22+'14-06 - 16-06'!G22+'21-06 - 23-06'!G22)/3</f>
        <v>695.33333333333337</v>
      </c>
      <c r="G19" s="11">
        <f>('07-06 - 09-06'!H22+'14-06 - 16-06'!H22+'21-06 - 23-06'!H22)/3</f>
        <v>400.66666666666669</v>
      </c>
      <c r="H19" s="11">
        <f>('07-06 - 09-06'!J22+'14-06 - 16-06'!J22+'21-06 - 23-06'!J22)/3</f>
        <v>718.66666666666663</v>
      </c>
      <c r="I19" s="11">
        <f>('07-06 - 09-06'!K22+'14-06 - 16-06'!K22+'21-06 - 23-06'!K22)/3</f>
        <v>771</v>
      </c>
      <c r="J19" s="11">
        <f>('07-06 - 09-06'!L22+'14-06 - 16-06'!L22+'21-06 - 23-06'!L22)/3</f>
        <v>451.33333333333331</v>
      </c>
      <c r="K19" s="16">
        <f t="shared" si="0"/>
        <v>552.00000000000011</v>
      </c>
      <c r="L19" s="16">
        <f t="shared" si="1"/>
        <v>530.33333333333337</v>
      </c>
      <c r="M19" s="16">
        <f t="shared" si="2"/>
        <v>646.99999999999989</v>
      </c>
    </row>
    <row r="20" spans="1:13" x14ac:dyDescent="0.25">
      <c r="A20">
        <v>16</v>
      </c>
      <c r="B20" s="11">
        <f>('07-06 - 09-06'!B23+'14-06 - 16-06'!B23+'21-06 - 23-06'!B23)/3</f>
        <v>545.33333333333337</v>
      </c>
      <c r="C20" s="11">
        <f>('07-06 - 09-06'!C23+'14-06 - 16-06'!C23+'21-06 - 23-06'!C23)/3</f>
        <v>636.33333333333337</v>
      </c>
      <c r="D20" s="11">
        <f>('07-06 - 09-06'!D23+'14-06 - 16-06'!D23+'21-06 - 23-06'!D23)/3</f>
        <v>373</v>
      </c>
      <c r="E20" s="11">
        <f>('07-06 - 09-06'!F23+'14-06 - 16-06'!F23+'21-06 - 23-06'!F23)/3</f>
        <v>425.33333333333331</v>
      </c>
      <c r="F20" s="11">
        <f>('07-06 - 09-06'!G23+'14-06 - 16-06'!G23+'21-06 - 23-06'!G23)/3</f>
        <v>635.66666666666663</v>
      </c>
      <c r="G20" s="11">
        <f>('07-06 - 09-06'!H23+'14-06 - 16-06'!H23+'21-06 - 23-06'!H23)/3</f>
        <v>377.33333333333331</v>
      </c>
      <c r="H20" s="11">
        <f>('07-06 - 09-06'!J23+'14-06 - 16-06'!J23+'21-06 - 23-06'!J23)/3</f>
        <v>800.33333333333337</v>
      </c>
      <c r="I20" s="11">
        <f>('07-06 - 09-06'!K23+'14-06 - 16-06'!K23+'21-06 - 23-06'!K23)/3</f>
        <v>782.33333333333337</v>
      </c>
      <c r="J20" s="11">
        <f>('07-06 - 09-06'!L23+'14-06 - 16-06'!L23+'21-06 - 23-06'!L23)/3</f>
        <v>495</v>
      </c>
      <c r="K20" s="16">
        <f t="shared" si="0"/>
        <v>518.22222222222229</v>
      </c>
      <c r="L20" s="16">
        <f t="shared" si="1"/>
        <v>479.4444444444444</v>
      </c>
      <c r="M20" s="16">
        <f t="shared" si="2"/>
        <v>692.55555555555566</v>
      </c>
    </row>
    <row r="21" spans="1:13" x14ac:dyDescent="0.25">
      <c r="A21">
        <v>17</v>
      </c>
      <c r="B21" s="11">
        <f>('07-06 - 09-06'!B24+'14-06 - 16-06'!B24+'21-06 - 23-06'!B24)/3</f>
        <v>485.66666666666669</v>
      </c>
      <c r="C21" s="11">
        <f>('07-06 - 09-06'!C24+'14-06 - 16-06'!C24+'21-06 - 23-06'!C24)/3</f>
        <v>604.33333333333337</v>
      </c>
      <c r="D21" s="11">
        <f>('07-06 - 09-06'!D24+'14-06 - 16-06'!D24+'21-06 - 23-06'!D24)/3</f>
        <v>358.33333333333331</v>
      </c>
      <c r="E21" s="11">
        <f>('07-06 - 09-06'!F24+'14-06 - 16-06'!F24+'21-06 - 23-06'!F24)/3</f>
        <v>407.33333333333331</v>
      </c>
      <c r="F21" s="11">
        <f>('07-06 - 09-06'!G24+'14-06 - 16-06'!G24+'21-06 - 23-06'!G24)/3</f>
        <v>536.66666666666663</v>
      </c>
      <c r="G21" s="11">
        <f>('07-06 - 09-06'!H24+'14-06 - 16-06'!H24+'21-06 - 23-06'!H24)/3</f>
        <v>317.33333333333331</v>
      </c>
      <c r="H21" s="11">
        <f>('07-06 - 09-06'!J24+'14-06 - 16-06'!J24+'21-06 - 23-06'!J24)/3</f>
        <v>798.66666666666663</v>
      </c>
      <c r="I21" s="11">
        <f>('07-06 - 09-06'!K24+'14-06 - 16-06'!K24+'21-06 - 23-06'!K24)/3</f>
        <v>823</v>
      </c>
      <c r="J21" s="11">
        <f>('07-06 - 09-06'!L24+'14-06 - 16-06'!L24+'21-06 - 23-06'!L24)/3</f>
        <v>471.33333333333331</v>
      </c>
      <c r="K21" s="16">
        <f t="shared" si="0"/>
        <v>482.77777777777777</v>
      </c>
      <c r="L21" s="16">
        <f t="shared" si="1"/>
        <v>420.4444444444444</v>
      </c>
      <c r="M21" s="16">
        <f t="shared" si="2"/>
        <v>697.66666666666663</v>
      </c>
    </row>
    <row r="22" spans="1:13" x14ac:dyDescent="0.25">
      <c r="A22">
        <v>18</v>
      </c>
      <c r="B22" s="11">
        <f>('07-06 - 09-06'!B25+'14-06 - 16-06'!B25+'21-06 - 23-06'!B25)/3</f>
        <v>352</v>
      </c>
      <c r="C22" s="11">
        <f>('07-06 - 09-06'!C25+'14-06 - 16-06'!C25+'21-06 - 23-06'!C25)/3</f>
        <v>479</v>
      </c>
      <c r="D22" s="11">
        <f>('07-06 - 09-06'!D25+'14-06 - 16-06'!D25+'21-06 - 23-06'!D25)/3</f>
        <v>303.66666666666669</v>
      </c>
      <c r="E22" s="11">
        <f>('07-06 - 09-06'!F25+'14-06 - 16-06'!F25+'21-06 - 23-06'!F25)/3</f>
        <v>330.33333333333331</v>
      </c>
      <c r="F22" s="11">
        <f>('07-06 - 09-06'!G25+'14-06 - 16-06'!G25+'21-06 - 23-06'!G25)/3</f>
        <v>465</v>
      </c>
      <c r="G22" s="11">
        <f>('07-06 - 09-06'!H25+'14-06 - 16-06'!H25+'21-06 - 23-06'!H25)/3</f>
        <v>279</v>
      </c>
      <c r="H22" s="11">
        <f>('07-06 - 09-06'!J25+'14-06 - 16-06'!J25+'21-06 - 23-06'!J25)/3</f>
        <v>453.33333333333331</v>
      </c>
      <c r="I22" s="11">
        <f>('07-06 - 09-06'!K25+'14-06 - 16-06'!K25+'21-06 - 23-06'!K25)/3</f>
        <v>550.33333333333337</v>
      </c>
      <c r="J22" s="11">
        <f>('07-06 - 09-06'!L25+'14-06 - 16-06'!L25+'21-06 - 23-06'!L25)/3</f>
        <v>329</v>
      </c>
      <c r="K22" s="16">
        <f t="shared" si="0"/>
        <v>378.22222222222223</v>
      </c>
      <c r="L22" s="16">
        <f t="shared" si="1"/>
        <v>358.11111111111109</v>
      </c>
      <c r="M22" s="16">
        <f t="shared" si="2"/>
        <v>444.22222222222223</v>
      </c>
    </row>
    <row r="23" spans="1:13" x14ac:dyDescent="0.25">
      <c r="A23">
        <v>19</v>
      </c>
      <c r="B23" s="11">
        <f>('07-06 - 09-06'!B26+'14-06 - 16-06'!B26+'21-06 - 23-06'!B26)/3</f>
        <v>332.33333333333331</v>
      </c>
      <c r="C23" s="11">
        <f>('07-06 - 09-06'!C26+'14-06 - 16-06'!C26+'21-06 - 23-06'!C26)/3</f>
        <v>423.33333333333331</v>
      </c>
      <c r="D23" s="11">
        <f>('07-06 - 09-06'!D26+'14-06 - 16-06'!D26+'21-06 - 23-06'!D26)/3</f>
        <v>276</v>
      </c>
      <c r="E23" s="11">
        <f>('07-06 - 09-06'!F26+'14-06 - 16-06'!F26+'21-06 - 23-06'!F26)/3</f>
        <v>390.33333333333331</v>
      </c>
      <c r="F23" s="11">
        <f>('07-06 - 09-06'!G26+'14-06 - 16-06'!G26+'21-06 - 23-06'!G26)/3</f>
        <v>479</v>
      </c>
      <c r="G23" s="11">
        <f>('07-06 - 09-06'!H26+'14-06 - 16-06'!H26+'21-06 - 23-06'!H26)/3</f>
        <v>284.33333333333331</v>
      </c>
      <c r="H23" s="11">
        <f>('07-06 - 09-06'!J26+'14-06 - 16-06'!J26+'21-06 - 23-06'!J26)/3</f>
        <v>380.66666666666669</v>
      </c>
      <c r="I23" s="11">
        <f>('07-06 - 09-06'!K26+'14-06 - 16-06'!K26+'21-06 - 23-06'!K26)/3</f>
        <v>416</v>
      </c>
      <c r="J23" s="11">
        <f>('07-06 - 09-06'!L26+'14-06 - 16-06'!L26+'21-06 - 23-06'!L26)/3</f>
        <v>282.33333333333331</v>
      </c>
      <c r="K23" s="16">
        <f t="shared" si="0"/>
        <v>343.88888888888886</v>
      </c>
      <c r="L23" s="16">
        <f t="shared" si="1"/>
        <v>384.55555555555549</v>
      </c>
      <c r="M23" s="16">
        <f t="shared" si="2"/>
        <v>359.66666666666669</v>
      </c>
    </row>
    <row r="24" spans="1:13" x14ac:dyDescent="0.25">
      <c r="A24">
        <v>20</v>
      </c>
      <c r="B24" s="11">
        <f>('07-06 - 09-06'!B27+'14-06 - 16-06'!B27+'21-06 - 23-06'!B27)/3</f>
        <v>332.33333333333331</v>
      </c>
      <c r="C24" s="11">
        <f>('07-06 - 09-06'!C27+'14-06 - 16-06'!C27+'21-06 - 23-06'!C27)/3</f>
        <v>393.66666666666669</v>
      </c>
      <c r="D24" s="11">
        <f>('07-06 - 09-06'!D27+'14-06 - 16-06'!D27+'21-06 - 23-06'!D27)/3</f>
        <v>247.66666666666666</v>
      </c>
      <c r="E24" s="11">
        <f>('07-06 - 09-06'!F27+'14-06 - 16-06'!F27+'21-06 - 23-06'!F27)/3</f>
        <v>305.33333333333331</v>
      </c>
      <c r="F24" s="11">
        <f>('07-06 - 09-06'!G27+'14-06 - 16-06'!G27+'21-06 - 23-06'!G27)/3</f>
        <v>350.33333333333331</v>
      </c>
      <c r="G24" s="11">
        <f>('07-06 - 09-06'!H27+'14-06 - 16-06'!H27+'21-06 - 23-06'!H27)/3</f>
        <v>237</v>
      </c>
      <c r="H24" s="11">
        <f>('07-06 - 09-06'!J27+'14-06 - 16-06'!J27+'21-06 - 23-06'!J27)/3</f>
        <v>293.33333333333331</v>
      </c>
      <c r="I24" s="11">
        <f>('07-06 - 09-06'!K27+'14-06 - 16-06'!K27+'21-06 - 23-06'!K27)/3</f>
        <v>351</v>
      </c>
      <c r="J24" s="11">
        <f>('07-06 - 09-06'!L27+'14-06 - 16-06'!L27+'21-06 - 23-06'!L27)/3</f>
        <v>235.66666666666666</v>
      </c>
      <c r="K24" s="16">
        <f t="shared" si="0"/>
        <v>324.55555555555554</v>
      </c>
      <c r="L24" s="16">
        <f t="shared" si="1"/>
        <v>297.55555555555554</v>
      </c>
      <c r="M24" s="16">
        <f t="shared" si="2"/>
        <v>293.33333333333331</v>
      </c>
    </row>
    <row r="25" spans="1:13" x14ac:dyDescent="0.25">
      <c r="A25">
        <v>21</v>
      </c>
      <c r="B25" s="11">
        <f>('07-06 - 09-06'!B28+'14-06 - 16-06'!B28+'21-06 - 23-06'!B28)/3</f>
        <v>242.33333333333334</v>
      </c>
      <c r="C25" s="11">
        <f>('07-06 - 09-06'!C28+'14-06 - 16-06'!C28+'21-06 - 23-06'!C28)/3</f>
        <v>325</v>
      </c>
      <c r="D25" s="11">
        <f>('07-06 - 09-06'!D28+'14-06 - 16-06'!D28+'21-06 - 23-06'!D28)/3</f>
        <v>167.33333333333334</v>
      </c>
      <c r="E25" s="11">
        <f>('07-06 - 09-06'!F28+'14-06 - 16-06'!F28+'21-06 - 23-06'!F28)/3</f>
        <v>216.66666666666666</v>
      </c>
      <c r="F25" s="11">
        <f>('07-06 - 09-06'!G28+'14-06 - 16-06'!G28+'21-06 - 23-06'!G28)/3</f>
        <v>273</v>
      </c>
      <c r="G25" s="11">
        <f>('07-06 - 09-06'!H28+'14-06 - 16-06'!H28+'21-06 - 23-06'!H28)/3</f>
        <v>158</v>
      </c>
      <c r="H25" s="11">
        <f>('07-06 - 09-06'!J28+'14-06 - 16-06'!J28+'21-06 - 23-06'!J28)/3</f>
        <v>222</v>
      </c>
      <c r="I25" s="11">
        <f>('07-06 - 09-06'!K28+'14-06 - 16-06'!K28+'21-06 - 23-06'!K28)/3</f>
        <v>258</v>
      </c>
      <c r="J25" s="11">
        <f>('07-06 - 09-06'!L28+'14-06 - 16-06'!L28+'21-06 - 23-06'!L28)/3</f>
        <v>163.66666666666666</v>
      </c>
      <c r="K25" s="16">
        <f t="shared" si="0"/>
        <v>244.88888888888891</v>
      </c>
      <c r="L25" s="16">
        <f t="shared" si="1"/>
        <v>215.88888888888889</v>
      </c>
      <c r="M25" s="16">
        <f t="shared" si="2"/>
        <v>214.55555555555554</v>
      </c>
    </row>
    <row r="26" spans="1:13" x14ac:dyDescent="0.25">
      <c r="A26">
        <v>22</v>
      </c>
      <c r="B26" s="11">
        <f>('07-06 - 09-06'!B29+'14-06 - 16-06'!B29+'21-06 - 23-06'!B29)/3</f>
        <v>220</v>
      </c>
      <c r="C26" s="11">
        <f>('07-06 - 09-06'!C29+'14-06 - 16-06'!C29+'21-06 - 23-06'!C29)/3</f>
        <v>268</v>
      </c>
      <c r="D26" s="11">
        <f>('07-06 - 09-06'!D29+'14-06 - 16-06'!D29+'21-06 - 23-06'!D29)/3</f>
        <v>142</v>
      </c>
      <c r="E26" s="11">
        <f>('07-06 - 09-06'!F29+'14-06 - 16-06'!F29+'21-06 - 23-06'!F29)/3</f>
        <v>135.33333333333334</v>
      </c>
      <c r="F26" s="11">
        <f>('07-06 - 09-06'!G29+'14-06 - 16-06'!G29+'21-06 - 23-06'!G29)/3</f>
        <v>160.33333333333334</v>
      </c>
      <c r="G26" s="11">
        <f>('07-06 - 09-06'!H29+'14-06 - 16-06'!H29+'21-06 - 23-06'!H29)/3</f>
        <v>100.33333333333333</v>
      </c>
      <c r="H26" s="11">
        <f>('07-06 - 09-06'!J29+'14-06 - 16-06'!J29+'21-06 - 23-06'!J29)/3</f>
        <v>160</v>
      </c>
      <c r="I26" s="11">
        <f>('07-06 - 09-06'!K29+'14-06 - 16-06'!K29+'21-06 - 23-06'!K29)/3</f>
        <v>218.66666666666666</v>
      </c>
      <c r="J26" s="11">
        <f>('07-06 - 09-06'!L29+'14-06 - 16-06'!L29+'21-06 - 23-06'!L29)/3</f>
        <v>115</v>
      </c>
      <c r="K26" s="16">
        <f t="shared" si="0"/>
        <v>210</v>
      </c>
      <c r="L26" s="16">
        <f t="shared" si="1"/>
        <v>132</v>
      </c>
      <c r="M26" s="16">
        <f t="shared" si="2"/>
        <v>164.55555555555554</v>
      </c>
    </row>
    <row r="27" spans="1:13" x14ac:dyDescent="0.25">
      <c r="A27">
        <v>23</v>
      </c>
      <c r="B27" s="11">
        <f>('07-06 - 09-06'!B30+'14-06 - 16-06'!B30+'21-06 - 23-06'!B30)/3</f>
        <v>170</v>
      </c>
      <c r="C27" s="11">
        <f>('07-06 - 09-06'!C30+'14-06 - 16-06'!C30+'21-06 - 23-06'!C30)/3</f>
        <v>249.66666666666666</v>
      </c>
      <c r="D27" s="11">
        <f>('07-06 - 09-06'!D30+'14-06 - 16-06'!D30+'21-06 - 23-06'!D30)/3</f>
        <v>119.66666666666667</v>
      </c>
      <c r="E27" s="11">
        <f>('07-06 - 09-06'!F30+'14-06 - 16-06'!F30+'21-06 - 23-06'!F30)/3</f>
        <v>110.66666666666667</v>
      </c>
      <c r="F27" s="11">
        <f>('07-06 - 09-06'!G30+'14-06 - 16-06'!G30+'21-06 - 23-06'!G30)/3</f>
        <v>107.66666666666667</v>
      </c>
      <c r="G27" s="11">
        <f>('07-06 - 09-06'!H30+'14-06 - 16-06'!H30+'21-06 - 23-06'!H30)/3</f>
        <v>52.666666666666664</v>
      </c>
      <c r="H27" s="11">
        <f>('07-06 - 09-06'!J30+'14-06 - 16-06'!J30+'21-06 - 23-06'!J30)/3</f>
        <v>78.666666666666671</v>
      </c>
      <c r="I27" s="11">
        <f>('07-06 - 09-06'!K30+'14-06 - 16-06'!K30+'21-06 - 23-06'!K30)/3</f>
        <v>119.66666666666667</v>
      </c>
      <c r="J27" s="11">
        <f>('07-06 - 09-06'!L30+'14-06 - 16-06'!L30+'21-06 - 23-06'!L30)/3</f>
        <v>64.333333333333329</v>
      </c>
      <c r="K27" s="16">
        <f t="shared" si="0"/>
        <v>179.77777777777774</v>
      </c>
      <c r="L27" s="16">
        <f t="shared" si="1"/>
        <v>90.333333333333329</v>
      </c>
      <c r="M27" s="16">
        <f t="shared" si="2"/>
        <v>87.555555555555557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D0B7-8E9F-4D77-9596-CD85F050F5F2}">
  <dimension ref="A1:M27"/>
  <sheetViews>
    <sheetView workbookViewId="0">
      <selection activeCell="K3" sqref="K3"/>
    </sheetView>
  </sheetViews>
  <sheetFormatPr defaultRowHeight="15.75" x14ac:dyDescent="0.25"/>
  <cols>
    <col min="1" max="1" width="22.875" customWidth="1"/>
    <col min="2" max="4" width="10.125" bestFit="1" customWidth="1"/>
    <col min="5" max="7" width="12.375" bestFit="1" customWidth="1"/>
    <col min="8" max="10" width="11.125" bestFit="1" customWidth="1"/>
    <col min="11" max="11" width="17.5" customWidth="1"/>
    <col min="12" max="12" width="13.875" customWidth="1"/>
    <col min="13" max="13" width="14.75" customWidth="1"/>
  </cols>
  <sheetData>
    <row r="1" spans="1:13" x14ac:dyDescent="0.25">
      <c r="A1" s="7" t="s">
        <v>55</v>
      </c>
    </row>
    <row r="3" spans="1:13" x14ac:dyDescent="0.25">
      <c r="A3" s="8" t="s">
        <v>48</v>
      </c>
      <c r="B3" s="8" t="s">
        <v>49</v>
      </c>
      <c r="C3" s="8" t="s">
        <v>50</v>
      </c>
      <c r="D3" s="8" t="s">
        <v>51</v>
      </c>
      <c r="E3" s="9" t="s">
        <v>52</v>
      </c>
      <c r="F3" s="9" t="s">
        <v>53</v>
      </c>
      <c r="G3" s="9" t="s">
        <v>54</v>
      </c>
      <c r="H3" s="10" t="s">
        <v>60</v>
      </c>
      <c r="I3" s="10" t="s">
        <v>61</v>
      </c>
      <c r="J3" s="10" t="s">
        <v>62</v>
      </c>
      <c r="K3" s="14" t="s">
        <v>63</v>
      </c>
      <c r="L3" s="15" t="s">
        <v>64</v>
      </c>
      <c r="M3" s="13" t="s">
        <v>65</v>
      </c>
    </row>
    <row r="4" spans="1:13" x14ac:dyDescent="0.25">
      <c r="A4">
        <v>0</v>
      </c>
      <c r="B4" s="11">
        <f>('14-06 - 16-06'!B7+'21-06 - 23-06'!B7)/2</f>
        <v>114</v>
      </c>
      <c r="C4" s="11">
        <f>('14-06 - 16-06'!C7+'21-06 - 23-06'!C7)/2</f>
        <v>142</v>
      </c>
      <c r="D4" s="11">
        <f>('14-06 - 16-06'!D7+'21-06 - 23-06'!D7)/2</f>
        <v>69.5</v>
      </c>
      <c r="E4" s="11">
        <f>('14-06 - 16-06'!F7+'21-06 - 23-06'!F7)/2</f>
        <v>143</v>
      </c>
      <c r="F4" s="11">
        <f>('14-06 - 16-06'!G7+'21-06 - 23-06'!G7)/2</f>
        <v>220.5</v>
      </c>
      <c r="G4" s="11">
        <f>('14-06 - 16-06'!H7+'21-06 - 23-06'!H7)/2</f>
        <v>108.5</v>
      </c>
      <c r="H4" s="11">
        <f>('14-06 - 16-06'!J7+'21-06 - 23-06'!J7)/2</f>
        <v>38</v>
      </c>
      <c r="I4" s="11">
        <f>('14-06 - 16-06'!K7+'21-06 - 23-06'!K7)/2</f>
        <v>45.5</v>
      </c>
      <c r="J4" s="11">
        <f>('14-06 - 16-06'!L7+'21-06 - 23-06'!L7)/2</f>
        <v>29</v>
      </c>
      <c r="K4" s="16">
        <f>AVERAGE(B4:D4)</f>
        <v>108.5</v>
      </c>
      <c r="L4" s="16">
        <f>AVERAGE(E4:G4)</f>
        <v>157.33333333333334</v>
      </c>
      <c r="M4" s="16">
        <f>AVERAGE(H4:J4)</f>
        <v>37.5</v>
      </c>
    </row>
    <row r="5" spans="1:13" x14ac:dyDescent="0.25">
      <c r="A5">
        <v>1</v>
      </c>
      <c r="B5" s="11">
        <f>('14-06 - 16-06'!B8+'21-06 - 23-06'!B8)/2</f>
        <v>56</v>
      </c>
      <c r="C5" s="11">
        <f>('14-06 - 16-06'!C8+'21-06 - 23-06'!C8)/2</f>
        <v>93.5</v>
      </c>
      <c r="D5" s="11">
        <f>('14-06 - 16-06'!D8+'21-06 - 23-06'!D8)/2</f>
        <v>38.5</v>
      </c>
      <c r="E5" s="11">
        <f>('14-06 - 16-06'!F8+'21-06 - 23-06'!F8)/2</f>
        <v>85.5</v>
      </c>
      <c r="F5" s="11">
        <f>('14-06 - 16-06'!G8+'21-06 - 23-06'!G8)/2</f>
        <v>129.5</v>
      </c>
      <c r="G5" s="11">
        <f>('14-06 - 16-06'!H8+'21-06 - 23-06'!H8)/2</f>
        <v>79.5</v>
      </c>
      <c r="H5" s="11">
        <f>('14-06 - 16-06'!J8+'21-06 - 23-06'!J8)/2</f>
        <v>18</v>
      </c>
      <c r="I5" s="11">
        <f>('14-06 - 16-06'!K8+'21-06 - 23-06'!K8)/2</f>
        <v>28.5</v>
      </c>
      <c r="J5" s="11">
        <f>('14-06 - 16-06'!L8+'21-06 - 23-06'!L8)/2</f>
        <v>10.5</v>
      </c>
      <c r="K5" s="16">
        <f t="shared" ref="K5:K27" si="0">AVERAGE(B5:D5)</f>
        <v>62.666666666666664</v>
      </c>
      <c r="L5" s="16">
        <f t="shared" ref="L5:L27" si="1">AVERAGE(E5:G5)</f>
        <v>98.166666666666671</v>
      </c>
      <c r="M5" s="16">
        <f t="shared" ref="M5:M27" si="2">AVERAGE(H5:J5)</f>
        <v>19</v>
      </c>
    </row>
    <row r="6" spans="1:13" x14ac:dyDescent="0.25">
      <c r="A6">
        <v>2</v>
      </c>
      <c r="B6" s="11">
        <f>('14-06 - 16-06'!B9+'21-06 - 23-06'!B9)/2</f>
        <v>30.5</v>
      </c>
      <c r="C6" s="11">
        <f>('14-06 - 16-06'!C9+'21-06 - 23-06'!C9)/2</f>
        <v>58</v>
      </c>
      <c r="D6" s="11">
        <f>('14-06 - 16-06'!D9+'21-06 - 23-06'!D9)/2</f>
        <v>21.5</v>
      </c>
      <c r="E6" s="11">
        <f>('14-06 - 16-06'!F9+'21-06 - 23-06'!F9)/2</f>
        <v>61</v>
      </c>
      <c r="F6" s="11">
        <f>('14-06 - 16-06'!G9+'21-06 - 23-06'!G9)/2</f>
        <v>61</v>
      </c>
      <c r="G6" s="11">
        <f>('14-06 - 16-06'!H9+'21-06 - 23-06'!H9)/2</f>
        <v>29.5</v>
      </c>
      <c r="H6" s="11">
        <f>('14-06 - 16-06'!J9+'21-06 - 23-06'!J9)/2</f>
        <v>15.5</v>
      </c>
      <c r="I6" s="11">
        <f>('14-06 - 16-06'!K9+'21-06 - 23-06'!K9)/2</f>
        <v>16.5</v>
      </c>
      <c r="J6" s="11">
        <f>('14-06 - 16-06'!L9+'21-06 - 23-06'!L9)/2</f>
        <v>7.5</v>
      </c>
      <c r="K6" s="16">
        <f t="shared" si="0"/>
        <v>36.666666666666664</v>
      </c>
      <c r="L6" s="16">
        <f t="shared" si="1"/>
        <v>50.5</v>
      </c>
      <c r="M6" s="16">
        <f t="shared" si="2"/>
        <v>13.166666666666666</v>
      </c>
    </row>
    <row r="7" spans="1:13" x14ac:dyDescent="0.25">
      <c r="A7">
        <v>3</v>
      </c>
      <c r="B7" s="11">
        <f>('14-06 - 16-06'!B10+'21-06 - 23-06'!B10)/2</f>
        <v>29.5</v>
      </c>
      <c r="C7" s="11">
        <f>('14-06 - 16-06'!C10+'21-06 - 23-06'!C10)/2</f>
        <v>27.5</v>
      </c>
      <c r="D7" s="11">
        <f>('14-06 - 16-06'!D10+'21-06 - 23-06'!D10)/2</f>
        <v>20.5</v>
      </c>
      <c r="E7" s="11">
        <f>('14-06 - 16-06'!F10+'21-06 - 23-06'!F10)/2</f>
        <v>41.5</v>
      </c>
      <c r="F7" s="11">
        <f>('14-06 - 16-06'!G10+'21-06 - 23-06'!G10)/2</f>
        <v>34</v>
      </c>
      <c r="G7" s="11">
        <f>('14-06 - 16-06'!H10+'21-06 - 23-06'!H10)/2</f>
        <v>12</v>
      </c>
      <c r="H7" s="11">
        <f>('14-06 - 16-06'!J10+'21-06 - 23-06'!J10)/2</f>
        <v>23</v>
      </c>
      <c r="I7" s="11">
        <f>('14-06 - 16-06'!K10+'21-06 - 23-06'!K10)/2</f>
        <v>28.5</v>
      </c>
      <c r="J7" s="11">
        <f>('14-06 - 16-06'!L10+'21-06 - 23-06'!L10)/2</f>
        <v>17.5</v>
      </c>
      <c r="K7" s="16">
        <f t="shared" si="0"/>
        <v>25.833333333333332</v>
      </c>
      <c r="L7" s="16">
        <f t="shared" si="1"/>
        <v>29.166666666666668</v>
      </c>
      <c r="M7" s="16">
        <f t="shared" si="2"/>
        <v>23</v>
      </c>
    </row>
    <row r="8" spans="1:13" x14ac:dyDescent="0.25">
      <c r="A8">
        <v>4</v>
      </c>
      <c r="B8" s="11">
        <f>('14-06 - 16-06'!B11+'21-06 - 23-06'!B11)/2</f>
        <v>47</v>
      </c>
      <c r="C8" s="11">
        <f>('14-06 - 16-06'!C11+'21-06 - 23-06'!C11)/2</f>
        <v>46.5</v>
      </c>
      <c r="D8" s="11">
        <f>('14-06 - 16-06'!D11+'21-06 - 23-06'!D11)/2</f>
        <v>26.5</v>
      </c>
      <c r="E8" s="11">
        <f>('14-06 - 16-06'!F11+'21-06 - 23-06'!F11)/2</f>
        <v>21.5</v>
      </c>
      <c r="F8" s="11">
        <f>('14-06 - 16-06'!G11+'21-06 - 23-06'!G11)/2</f>
        <v>24</v>
      </c>
      <c r="G8" s="11">
        <f>('14-06 - 16-06'!H11+'21-06 - 23-06'!H11)/2</f>
        <v>9.5</v>
      </c>
      <c r="H8" s="11">
        <f>('14-06 - 16-06'!J11+'21-06 - 23-06'!J11)/2</f>
        <v>52</v>
      </c>
      <c r="I8" s="11">
        <f>('14-06 - 16-06'!K11+'21-06 - 23-06'!K11)/2</f>
        <v>56.5</v>
      </c>
      <c r="J8" s="11">
        <f>('14-06 - 16-06'!L11+'21-06 - 23-06'!L11)/2</f>
        <v>38</v>
      </c>
      <c r="K8" s="16">
        <f t="shared" si="0"/>
        <v>40</v>
      </c>
      <c r="L8" s="16">
        <f t="shared" si="1"/>
        <v>18.333333333333332</v>
      </c>
      <c r="M8" s="16">
        <f t="shared" si="2"/>
        <v>48.833333333333336</v>
      </c>
    </row>
    <row r="9" spans="1:13" x14ac:dyDescent="0.25">
      <c r="A9">
        <v>5</v>
      </c>
      <c r="B9" s="11">
        <f>('14-06 - 16-06'!B12+'21-06 - 23-06'!B12)/2</f>
        <v>67.5</v>
      </c>
      <c r="C9" s="11">
        <f>('14-06 - 16-06'!C12+'21-06 - 23-06'!C12)/2</f>
        <v>63</v>
      </c>
      <c r="D9" s="11">
        <f>('14-06 - 16-06'!D12+'21-06 - 23-06'!D12)/2</f>
        <v>37</v>
      </c>
      <c r="E9" s="11">
        <f>('14-06 - 16-06'!F12+'21-06 - 23-06'!F12)/2</f>
        <v>26.5</v>
      </c>
      <c r="F9" s="11">
        <f>('14-06 - 16-06'!G12+'21-06 - 23-06'!G12)/2</f>
        <v>34.5</v>
      </c>
      <c r="G9" s="11">
        <f>('14-06 - 16-06'!H12+'21-06 - 23-06'!H12)/2</f>
        <v>15</v>
      </c>
      <c r="H9" s="11">
        <f>('14-06 - 16-06'!J12+'21-06 - 23-06'!J12)/2</f>
        <v>218</v>
      </c>
      <c r="I9" s="11">
        <f>('14-06 - 16-06'!K12+'21-06 - 23-06'!K12)/2</f>
        <v>127.5</v>
      </c>
      <c r="J9" s="11">
        <f>('14-06 - 16-06'!L12+'21-06 - 23-06'!L12)/2</f>
        <v>115</v>
      </c>
      <c r="K9" s="16">
        <f t="shared" si="0"/>
        <v>55.833333333333336</v>
      </c>
      <c r="L9" s="16">
        <f t="shared" si="1"/>
        <v>25.333333333333332</v>
      </c>
      <c r="M9" s="16">
        <f t="shared" si="2"/>
        <v>153.5</v>
      </c>
    </row>
    <row r="10" spans="1:13" x14ac:dyDescent="0.25">
      <c r="A10">
        <v>6</v>
      </c>
      <c r="B10" s="11">
        <f>('14-06 - 16-06'!B13+'21-06 - 23-06'!B13)/2</f>
        <v>154.5</v>
      </c>
      <c r="C10" s="11">
        <f>('14-06 - 16-06'!C13+'21-06 - 23-06'!C13)/2</f>
        <v>114</v>
      </c>
      <c r="D10" s="11">
        <f>('14-06 - 16-06'!D13+'21-06 - 23-06'!D13)/2</f>
        <v>73</v>
      </c>
      <c r="E10" s="11">
        <f>('14-06 - 16-06'!F13+'21-06 - 23-06'!F13)/2</f>
        <v>63</v>
      </c>
      <c r="F10" s="11">
        <f>('14-06 - 16-06'!G13+'21-06 - 23-06'!G13)/2</f>
        <v>59</v>
      </c>
      <c r="G10" s="11">
        <f>('14-06 - 16-06'!H13+'21-06 - 23-06'!H13)/2</f>
        <v>31.5</v>
      </c>
      <c r="H10" s="11">
        <f>('14-06 - 16-06'!J13+'21-06 - 23-06'!J13)/2</f>
        <v>682</v>
      </c>
      <c r="I10" s="11">
        <f>('14-06 - 16-06'!K13+'21-06 - 23-06'!K13)/2</f>
        <v>540.5</v>
      </c>
      <c r="J10" s="11">
        <f>('14-06 - 16-06'!L13+'21-06 - 23-06'!L13)/2</f>
        <v>354.5</v>
      </c>
      <c r="K10" s="16">
        <f t="shared" si="0"/>
        <v>113.83333333333333</v>
      </c>
      <c r="L10" s="16">
        <f t="shared" si="1"/>
        <v>51.166666666666664</v>
      </c>
      <c r="M10" s="16">
        <f t="shared" si="2"/>
        <v>525.66666666666663</v>
      </c>
    </row>
    <row r="11" spans="1:13" x14ac:dyDescent="0.25">
      <c r="A11">
        <v>7</v>
      </c>
      <c r="B11" s="11">
        <f>('14-06 - 16-06'!B14+'21-06 - 23-06'!B14)/2</f>
        <v>207</v>
      </c>
      <c r="C11" s="11">
        <f>('14-06 - 16-06'!C14+'21-06 - 23-06'!C14)/2</f>
        <v>214.5</v>
      </c>
      <c r="D11" s="11">
        <f>('14-06 - 16-06'!D14+'21-06 - 23-06'!D14)/2</f>
        <v>152</v>
      </c>
      <c r="E11" s="11">
        <f>('14-06 - 16-06'!F14+'21-06 - 23-06'!F14)/2</f>
        <v>64</v>
      </c>
      <c r="F11" s="11">
        <f>('14-06 - 16-06'!G14+'21-06 - 23-06'!G14)/2</f>
        <v>91.5</v>
      </c>
      <c r="G11" s="11">
        <f>('14-06 - 16-06'!H14+'21-06 - 23-06'!H14)/2</f>
        <v>63</v>
      </c>
      <c r="H11" s="11">
        <f>('14-06 - 16-06'!J14+'21-06 - 23-06'!J14)/2</f>
        <v>837</v>
      </c>
      <c r="I11" s="11">
        <f>('14-06 - 16-06'!K14+'21-06 - 23-06'!K14)/2</f>
        <v>780</v>
      </c>
      <c r="J11" s="11">
        <f>('14-06 - 16-06'!L14+'21-06 - 23-06'!L14)/2</f>
        <v>581.5</v>
      </c>
      <c r="K11" s="16">
        <f t="shared" si="0"/>
        <v>191.16666666666666</v>
      </c>
      <c r="L11" s="16">
        <f t="shared" si="1"/>
        <v>72.833333333333329</v>
      </c>
      <c r="M11" s="16">
        <f t="shared" si="2"/>
        <v>732.83333333333337</v>
      </c>
    </row>
    <row r="12" spans="1:13" x14ac:dyDescent="0.25">
      <c r="A12">
        <v>8</v>
      </c>
      <c r="B12" s="11">
        <f>('14-06 - 16-06'!B15+'21-06 - 23-06'!B15)/2</f>
        <v>363</v>
      </c>
      <c r="C12" s="11">
        <f>('14-06 - 16-06'!C15+'21-06 - 23-06'!C15)/2</f>
        <v>382.5</v>
      </c>
      <c r="D12" s="11">
        <f>('14-06 - 16-06'!D15+'21-06 - 23-06'!D15)/2</f>
        <v>283.5</v>
      </c>
      <c r="E12" s="11">
        <f>('14-06 - 16-06'!F15+'21-06 - 23-06'!F15)/2</f>
        <v>129.5</v>
      </c>
      <c r="F12" s="11">
        <f>('14-06 - 16-06'!G15+'21-06 - 23-06'!G15)/2</f>
        <v>162</v>
      </c>
      <c r="G12" s="11">
        <f>('14-06 - 16-06'!H15+'21-06 - 23-06'!H15)/2</f>
        <v>137.5</v>
      </c>
      <c r="H12" s="11">
        <f>('14-06 - 16-06'!J15+'21-06 - 23-06'!J15)/2</f>
        <v>772</v>
      </c>
      <c r="I12" s="11">
        <f>('14-06 - 16-06'!K15+'21-06 - 23-06'!K15)/2</f>
        <v>746.5</v>
      </c>
      <c r="J12" s="11">
        <f>('14-06 - 16-06'!L15+'21-06 - 23-06'!L15)/2</f>
        <v>573</v>
      </c>
      <c r="K12" s="16">
        <f t="shared" si="0"/>
        <v>343</v>
      </c>
      <c r="L12" s="16">
        <f t="shared" si="1"/>
        <v>143</v>
      </c>
      <c r="M12" s="16">
        <f t="shared" si="2"/>
        <v>697.16666666666663</v>
      </c>
    </row>
    <row r="13" spans="1:13" x14ac:dyDescent="0.25">
      <c r="A13">
        <v>9</v>
      </c>
      <c r="B13" s="11">
        <f>('14-06 - 16-06'!B16+'21-06 - 23-06'!B16)/2</f>
        <v>570.5</v>
      </c>
      <c r="C13" s="11">
        <f>('14-06 - 16-06'!C16+'21-06 - 23-06'!C16)/2</f>
        <v>580.5</v>
      </c>
      <c r="D13" s="11">
        <f>('14-06 - 16-06'!D16+'21-06 - 23-06'!D16)/2</f>
        <v>442.5</v>
      </c>
      <c r="E13" s="11">
        <f>('14-06 - 16-06'!F16+'21-06 - 23-06'!F16)/2</f>
        <v>258.5</v>
      </c>
      <c r="F13" s="11">
        <f>('14-06 - 16-06'!G16+'21-06 - 23-06'!G16)/2</f>
        <v>292</v>
      </c>
      <c r="G13" s="11">
        <f>('14-06 - 16-06'!H16+'21-06 - 23-06'!H16)/2</f>
        <v>288</v>
      </c>
      <c r="H13" s="11">
        <f>('14-06 - 16-06'!J16+'21-06 - 23-06'!J16)/2</f>
        <v>577</v>
      </c>
      <c r="I13" s="11">
        <f>('14-06 - 16-06'!K16+'21-06 - 23-06'!K16)/2</f>
        <v>627</v>
      </c>
      <c r="J13" s="11">
        <f>('14-06 - 16-06'!L16+'21-06 - 23-06'!L16)/2</f>
        <v>463</v>
      </c>
      <c r="K13" s="16">
        <f t="shared" si="0"/>
        <v>531.16666666666663</v>
      </c>
      <c r="L13" s="16">
        <f t="shared" si="1"/>
        <v>279.5</v>
      </c>
      <c r="M13" s="16">
        <f t="shared" si="2"/>
        <v>555.66666666666663</v>
      </c>
    </row>
    <row r="14" spans="1:13" x14ac:dyDescent="0.25">
      <c r="A14">
        <v>10</v>
      </c>
      <c r="B14" s="11">
        <f>('14-06 - 16-06'!B17+'21-06 - 23-06'!B17)/2</f>
        <v>637</v>
      </c>
      <c r="C14" s="11">
        <f>('14-06 - 16-06'!C17+'21-06 - 23-06'!C17)/2</f>
        <v>657</v>
      </c>
      <c r="D14" s="11">
        <f>('14-06 - 16-06'!D17+'21-06 - 23-06'!D17)/2</f>
        <v>456</v>
      </c>
      <c r="E14" s="11">
        <f>('14-06 - 16-06'!F17+'21-06 - 23-06'!F17)/2</f>
        <v>433</v>
      </c>
      <c r="F14" s="11">
        <f>('14-06 - 16-06'!G17+'21-06 - 23-06'!G17)/2</f>
        <v>490.5</v>
      </c>
      <c r="G14" s="11">
        <f>('14-06 - 16-06'!H17+'21-06 - 23-06'!H17)/2</f>
        <v>397.5</v>
      </c>
      <c r="H14" s="11">
        <f>('14-06 - 16-06'!J17+'21-06 - 23-06'!J17)/2</f>
        <v>597.5</v>
      </c>
      <c r="I14" s="11">
        <f>('14-06 - 16-06'!K17+'21-06 - 23-06'!K17)/2</f>
        <v>577</v>
      </c>
      <c r="J14" s="11">
        <f>('14-06 - 16-06'!L17+'21-06 - 23-06'!L17)/2</f>
        <v>418.5</v>
      </c>
      <c r="K14" s="16">
        <f t="shared" si="0"/>
        <v>583.33333333333337</v>
      </c>
      <c r="L14" s="16">
        <f t="shared" si="1"/>
        <v>440.33333333333331</v>
      </c>
      <c r="M14" s="16">
        <f t="shared" si="2"/>
        <v>531</v>
      </c>
    </row>
    <row r="15" spans="1:13" x14ac:dyDescent="0.25">
      <c r="A15">
        <v>11</v>
      </c>
      <c r="B15" s="11">
        <f>('14-06 - 16-06'!B18+'21-06 - 23-06'!B18)/2</f>
        <v>682</v>
      </c>
      <c r="C15" s="11">
        <f>('14-06 - 16-06'!C18+'21-06 - 23-06'!C18)/2</f>
        <v>634</v>
      </c>
      <c r="D15" s="11">
        <f>('14-06 - 16-06'!D18+'21-06 - 23-06'!D18)/2</f>
        <v>491</v>
      </c>
      <c r="E15" s="11">
        <f>('14-06 - 16-06'!F18+'21-06 - 23-06'!F18)/2</f>
        <v>606.5</v>
      </c>
      <c r="F15" s="11">
        <f>('14-06 - 16-06'!G18+'21-06 - 23-06'!G18)/2</f>
        <v>812</v>
      </c>
      <c r="G15" s="11">
        <f>('14-06 - 16-06'!H18+'21-06 - 23-06'!H18)/2</f>
        <v>535</v>
      </c>
      <c r="H15" s="11">
        <f>('14-06 - 16-06'!J18+'21-06 - 23-06'!J18)/2</f>
        <v>619.5</v>
      </c>
      <c r="I15" s="11">
        <f>('14-06 - 16-06'!K18+'21-06 - 23-06'!K18)/2</f>
        <v>634</v>
      </c>
      <c r="J15" s="11">
        <f>('14-06 - 16-06'!L18+'21-06 - 23-06'!L18)/2</f>
        <v>415.5</v>
      </c>
      <c r="K15" s="16">
        <f t="shared" si="0"/>
        <v>602.33333333333337</v>
      </c>
      <c r="L15" s="16">
        <f t="shared" si="1"/>
        <v>651.16666666666663</v>
      </c>
      <c r="M15" s="16">
        <f t="shared" si="2"/>
        <v>556.33333333333337</v>
      </c>
    </row>
    <row r="16" spans="1:13" x14ac:dyDescent="0.25">
      <c r="A16">
        <v>12</v>
      </c>
      <c r="B16" s="11">
        <f>('14-06 - 16-06'!B19+'21-06 - 23-06'!B19)/2</f>
        <v>677</v>
      </c>
      <c r="C16" s="11">
        <f>('14-06 - 16-06'!C19+'21-06 - 23-06'!C19)/2</f>
        <v>676.5</v>
      </c>
      <c r="D16" s="11">
        <f>('14-06 - 16-06'!D19+'21-06 - 23-06'!D19)/2</f>
        <v>504</v>
      </c>
      <c r="E16" s="11">
        <f>('14-06 - 16-06'!F19+'21-06 - 23-06'!F19)/2</f>
        <v>593.5</v>
      </c>
      <c r="F16" s="11">
        <f>('14-06 - 16-06'!G19+'21-06 - 23-06'!G19)/2</f>
        <v>920</v>
      </c>
      <c r="G16" s="11">
        <f>('14-06 - 16-06'!H19+'21-06 - 23-06'!H19)/2</f>
        <v>547</v>
      </c>
      <c r="H16" s="11">
        <f>('14-06 - 16-06'!J19+'21-06 - 23-06'!J19)/2</f>
        <v>630.5</v>
      </c>
      <c r="I16" s="11">
        <f>('14-06 - 16-06'!K19+'21-06 - 23-06'!K19)/2</f>
        <v>707.5</v>
      </c>
      <c r="J16" s="11">
        <f>('14-06 - 16-06'!L19+'21-06 - 23-06'!L19)/2</f>
        <v>414</v>
      </c>
      <c r="K16" s="16">
        <f t="shared" si="0"/>
        <v>619.16666666666663</v>
      </c>
      <c r="L16" s="16">
        <f t="shared" si="1"/>
        <v>686.83333333333337</v>
      </c>
      <c r="M16" s="16">
        <f t="shared" si="2"/>
        <v>584</v>
      </c>
    </row>
    <row r="17" spans="1:13" x14ac:dyDescent="0.25">
      <c r="A17">
        <v>13</v>
      </c>
      <c r="B17" s="11">
        <f>('14-06 - 16-06'!B20+'21-06 - 23-06'!B20)/2</f>
        <v>678</v>
      </c>
      <c r="C17" s="11">
        <f>('14-06 - 16-06'!C20+'21-06 - 23-06'!C20)/2</f>
        <v>756</v>
      </c>
      <c r="D17" s="11">
        <f>('14-06 - 16-06'!D20+'21-06 - 23-06'!D20)/2</f>
        <v>507</v>
      </c>
      <c r="E17" s="11">
        <f>('14-06 - 16-06'!F20+'21-06 - 23-06'!F20)/2</f>
        <v>692.5</v>
      </c>
      <c r="F17" s="11">
        <f>('14-06 - 16-06'!G20+'21-06 - 23-06'!G20)/2</f>
        <v>840</v>
      </c>
      <c r="G17" s="11">
        <f>('14-06 - 16-06'!H20+'21-06 - 23-06'!H20)/2</f>
        <v>596.5</v>
      </c>
      <c r="H17" s="11">
        <f>('14-06 - 16-06'!J20+'21-06 - 23-06'!J20)/2</f>
        <v>622</v>
      </c>
      <c r="I17" s="11">
        <f>('14-06 - 16-06'!K20+'21-06 - 23-06'!K20)/2</f>
        <v>676.5</v>
      </c>
      <c r="J17" s="11">
        <f>('14-06 - 16-06'!L20+'21-06 - 23-06'!L20)/2</f>
        <v>439</v>
      </c>
      <c r="K17" s="16">
        <f t="shared" si="0"/>
        <v>647</v>
      </c>
      <c r="L17" s="16">
        <f t="shared" si="1"/>
        <v>709.66666666666663</v>
      </c>
      <c r="M17" s="16">
        <f t="shared" si="2"/>
        <v>579.16666666666663</v>
      </c>
    </row>
    <row r="18" spans="1:13" x14ac:dyDescent="0.25">
      <c r="A18">
        <v>14</v>
      </c>
      <c r="B18" s="11">
        <f>('14-06 - 16-06'!B21+'21-06 - 23-06'!B21)/2</f>
        <v>688.5</v>
      </c>
      <c r="C18" s="11">
        <f>('14-06 - 16-06'!C21+'21-06 - 23-06'!C21)/2</f>
        <v>749.5</v>
      </c>
      <c r="D18" s="11">
        <f>('14-06 - 16-06'!D21+'21-06 - 23-06'!D21)/2</f>
        <v>461</v>
      </c>
      <c r="E18" s="11">
        <f>('14-06 - 16-06'!F21+'21-06 - 23-06'!F21)/2</f>
        <v>701.5</v>
      </c>
      <c r="F18" s="11">
        <f>('14-06 - 16-06'!G21+'21-06 - 23-06'!G21)/2</f>
        <v>1031.5</v>
      </c>
      <c r="G18" s="11">
        <f>('14-06 - 16-06'!H21+'21-06 - 23-06'!H21)/2</f>
        <v>550</v>
      </c>
      <c r="H18" s="11">
        <f>('14-06 - 16-06'!J21+'21-06 - 23-06'!J21)/2</f>
        <v>693.5</v>
      </c>
      <c r="I18" s="11">
        <f>('14-06 - 16-06'!K21+'21-06 - 23-06'!K21)/2</f>
        <v>788</v>
      </c>
      <c r="J18" s="11">
        <f>('14-06 - 16-06'!L21+'21-06 - 23-06'!L21)/2</f>
        <v>453.5</v>
      </c>
      <c r="K18" s="16">
        <f t="shared" si="0"/>
        <v>633</v>
      </c>
      <c r="L18" s="16">
        <f t="shared" si="1"/>
        <v>761</v>
      </c>
      <c r="M18" s="16">
        <f t="shared" si="2"/>
        <v>645</v>
      </c>
    </row>
    <row r="19" spans="1:13" x14ac:dyDescent="0.25">
      <c r="A19">
        <v>15</v>
      </c>
      <c r="B19" s="11">
        <f>('14-06 - 16-06'!B22+'21-06 - 23-06'!B22)/2</f>
        <v>599</v>
      </c>
      <c r="C19" s="11">
        <f>('14-06 - 16-06'!C22+'21-06 - 23-06'!C22)/2</f>
        <v>626</v>
      </c>
      <c r="D19" s="11">
        <f>('14-06 - 16-06'!D22+'21-06 - 23-06'!D22)/2</f>
        <v>406.5</v>
      </c>
      <c r="E19" s="11">
        <f>('14-06 - 16-06'!F22+'21-06 - 23-06'!F22)/2</f>
        <v>528</v>
      </c>
      <c r="F19" s="11">
        <f>('14-06 - 16-06'!G22+'21-06 - 23-06'!G22)/2</f>
        <v>736.5</v>
      </c>
      <c r="G19" s="11">
        <f>('14-06 - 16-06'!H22+'21-06 - 23-06'!H22)/2</f>
        <v>421.5</v>
      </c>
      <c r="H19" s="11">
        <f>('14-06 - 16-06'!J22+'21-06 - 23-06'!J22)/2</f>
        <v>750</v>
      </c>
      <c r="I19" s="11">
        <f>('14-06 - 16-06'!K22+'21-06 - 23-06'!K22)/2</f>
        <v>787</v>
      </c>
      <c r="J19" s="11">
        <f>('14-06 - 16-06'!L22+'21-06 - 23-06'!L22)/2</f>
        <v>476.5</v>
      </c>
      <c r="K19" s="16">
        <f t="shared" si="0"/>
        <v>543.83333333333337</v>
      </c>
      <c r="L19" s="16">
        <f t="shared" si="1"/>
        <v>562</v>
      </c>
      <c r="M19" s="16">
        <f t="shared" si="2"/>
        <v>671.16666666666663</v>
      </c>
    </row>
    <row r="20" spans="1:13" x14ac:dyDescent="0.25">
      <c r="A20">
        <v>16</v>
      </c>
      <c r="B20" s="11">
        <f>('14-06 - 16-06'!B23+'21-06 - 23-06'!B23)/2</f>
        <v>512.5</v>
      </c>
      <c r="C20" s="11">
        <f>('14-06 - 16-06'!C23+'21-06 - 23-06'!C23)/2</f>
        <v>630.5</v>
      </c>
      <c r="D20" s="11">
        <f>('14-06 - 16-06'!D23+'21-06 - 23-06'!D23)/2</f>
        <v>355.5</v>
      </c>
      <c r="E20" s="11">
        <f>('14-06 - 16-06'!F23+'21-06 - 23-06'!F23)/2</f>
        <v>446.5</v>
      </c>
      <c r="F20" s="11">
        <f>('14-06 - 16-06'!G23+'21-06 - 23-06'!G23)/2</f>
        <v>712</v>
      </c>
      <c r="G20" s="11">
        <f>('14-06 - 16-06'!H23+'21-06 - 23-06'!H23)/2</f>
        <v>396.5</v>
      </c>
      <c r="H20" s="11">
        <f>('14-06 - 16-06'!J23+'21-06 - 23-06'!J23)/2</f>
        <v>919</v>
      </c>
      <c r="I20" s="11">
        <f>('14-06 - 16-06'!K23+'21-06 - 23-06'!K23)/2</f>
        <v>836.5</v>
      </c>
      <c r="J20" s="11">
        <f>('14-06 - 16-06'!L23+'21-06 - 23-06'!L23)/2</f>
        <v>550.5</v>
      </c>
      <c r="K20" s="16">
        <f t="shared" si="0"/>
        <v>499.5</v>
      </c>
      <c r="L20" s="16">
        <f t="shared" si="1"/>
        <v>518.33333333333337</v>
      </c>
      <c r="M20" s="16">
        <f t="shared" si="2"/>
        <v>768.66666666666663</v>
      </c>
    </row>
    <row r="21" spans="1:13" x14ac:dyDescent="0.25">
      <c r="A21">
        <v>17</v>
      </c>
      <c r="B21" s="11">
        <f>('14-06 - 16-06'!B24+'21-06 - 23-06'!B24)/2</f>
        <v>482</v>
      </c>
      <c r="C21" s="11">
        <f>('14-06 - 16-06'!C24+'21-06 - 23-06'!C24)/2</f>
        <v>587.5</v>
      </c>
      <c r="D21" s="11">
        <f>('14-06 - 16-06'!D24+'21-06 - 23-06'!D24)/2</f>
        <v>332</v>
      </c>
      <c r="E21" s="11">
        <f>('14-06 - 16-06'!F24+'21-06 - 23-06'!F24)/2</f>
        <v>426</v>
      </c>
      <c r="F21" s="11">
        <f>('14-06 - 16-06'!G24+'21-06 - 23-06'!G24)/2</f>
        <v>592</v>
      </c>
      <c r="G21" s="11">
        <f>('14-06 - 16-06'!H24+'21-06 - 23-06'!H24)/2</f>
        <v>328.5</v>
      </c>
      <c r="H21" s="11">
        <f>('14-06 - 16-06'!J24+'21-06 - 23-06'!J24)/2</f>
        <v>944.5</v>
      </c>
      <c r="I21" s="11">
        <f>('14-06 - 16-06'!K24+'21-06 - 23-06'!K24)/2</f>
        <v>912.5</v>
      </c>
      <c r="J21" s="11">
        <f>('14-06 - 16-06'!L24+'21-06 - 23-06'!L24)/2</f>
        <v>536</v>
      </c>
      <c r="K21" s="16">
        <f t="shared" si="0"/>
        <v>467.16666666666669</v>
      </c>
      <c r="L21" s="16">
        <f t="shared" si="1"/>
        <v>448.83333333333331</v>
      </c>
      <c r="M21" s="16">
        <f t="shared" si="2"/>
        <v>797.66666666666663</v>
      </c>
    </row>
    <row r="22" spans="1:13" x14ac:dyDescent="0.25">
      <c r="A22">
        <v>18</v>
      </c>
      <c r="B22" s="11">
        <f>('14-06 - 16-06'!B25+'21-06 - 23-06'!B25)/2</f>
        <v>339</v>
      </c>
      <c r="C22" s="11">
        <f>('14-06 - 16-06'!C25+'21-06 - 23-06'!C25)/2</f>
        <v>489.5</v>
      </c>
      <c r="D22" s="11">
        <f>('14-06 - 16-06'!D25+'21-06 - 23-06'!D25)/2</f>
        <v>301.5</v>
      </c>
      <c r="E22" s="11">
        <f>('14-06 - 16-06'!F25+'21-06 - 23-06'!F25)/2</f>
        <v>349.5</v>
      </c>
      <c r="F22" s="11">
        <f>('14-06 - 16-06'!G25+'21-06 - 23-06'!G25)/2</f>
        <v>511.5</v>
      </c>
      <c r="G22" s="11">
        <f>('14-06 - 16-06'!H25+'21-06 - 23-06'!H25)/2</f>
        <v>301.5</v>
      </c>
      <c r="H22" s="11">
        <f>('14-06 - 16-06'!J25+'21-06 - 23-06'!J25)/2</f>
        <v>497</v>
      </c>
      <c r="I22" s="11">
        <f>('14-06 - 16-06'!K25+'21-06 - 23-06'!K25)/2</f>
        <v>560</v>
      </c>
      <c r="J22" s="11">
        <f>('14-06 - 16-06'!L25+'21-06 - 23-06'!L25)/2</f>
        <v>354</v>
      </c>
      <c r="K22" s="16">
        <f t="shared" si="0"/>
        <v>376.66666666666669</v>
      </c>
      <c r="L22" s="16">
        <f t="shared" si="1"/>
        <v>387.5</v>
      </c>
      <c r="M22" s="16">
        <f t="shared" si="2"/>
        <v>470.33333333333331</v>
      </c>
    </row>
    <row r="23" spans="1:13" x14ac:dyDescent="0.25">
      <c r="A23">
        <v>19</v>
      </c>
      <c r="B23" s="11">
        <f>('14-06 - 16-06'!B26+'21-06 - 23-06'!B26)/2</f>
        <v>349.5</v>
      </c>
      <c r="C23" s="11">
        <f>('14-06 - 16-06'!C26+'21-06 - 23-06'!C26)/2</f>
        <v>433.5</v>
      </c>
      <c r="D23" s="11">
        <f>('14-06 - 16-06'!D26+'21-06 - 23-06'!D26)/2</f>
        <v>265</v>
      </c>
      <c r="E23" s="11">
        <f>('14-06 - 16-06'!F26+'21-06 - 23-06'!F26)/2</f>
        <v>409</v>
      </c>
      <c r="F23" s="11">
        <f>('14-06 - 16-06'!G26+'21-06 - 23-06'!G26)/2</f>
        <v>538</v>
      </c>
      <c r="G23" s="11">
        <f>('14-06 - 16-06'!H26+'21-06 - 23-06'!H26)/2</f>
        <v>297.5</v>
      </c>
      <c r="H23" s="11">
        <f>('14-06 - 16-06'!J26+'21-06 - 23-06'!J26)/2</f>
        <v>351</v>
      </c>
      <c r="I23" s="11">
        <f>('14-06 - 16-06'!K26+'21-06 - 23-06'!K26)/2</f>
        <v>366.5</v>
      </c>
      <c r="J23" s="11">
        <f>('14-06 - 16-06'!L26+'21-06 - 23-06'!L26)/2</f>
        <v>292.5</v>
      </c>
      <c r="K23" s="16">
        <f t="shared" si="0"/>
        <v>349.33333333333331</v>
      </c>
      <c r="L23" s="16">
        <f t="shared" si="1"/>
        <v>414.83333333333331</v>
      </c>
      <c r="M23" s="16">
        <f t="shared" si="2"/>
        <v>336.66666666666669</v>
      </c>
    </row>
    <row r="24" spans="1:13" x14ac:dyDescent="0.25">
      <c r="A24">
        <v>20</v>
      </c>
      <c r="B24" s="11">
        <f>('14-06 - 16-06'!B27+'21-06 - 23-06'!B27)/2</f>
        <v>346</v>
      </c>
      <c r="C24" s="11">
        <f>('14-06 - 16-06'!C27+'21-06 - 23-06'!C27)/2</f>
        <v>415.5</v>
      </c>
      <c r="D24" s="11">
        <f>('14-06 - 16-06'!D27+'21-06 - 23-06'!D27)/2</f>
        <v>253.5</v>
      </c>
      <c r="E24" s="11">
        <f>('14-06 - 16-06'!F27+'21-06 - 23-06'!F27)/2</f>
        <v>301</v>
      </c>
      <c r="F24" s="11">
        <f>('14-06 - 16-06'!G27+'21-06 - 23-06'!G27)/2</f>
        <v>362.5</v>
      </c>
      <c r="G24" s="11">
        <f>('14-06 - 16-06'!H27+'21-06 - 23-06'!H27)/2</f>
        <v>245.5</v>
      </c>
      <c r="H24" s="11">
        <f>('14-06 - 16-06'!J27+'21-06 - 23-06'!J27)/2</f>
        <v>248.5</v>
      </c>
      <c r="I24" s="11">
        <f>('14-06 - 16-06'!K27+'21-06 - 23-06'!K27)/2</f>
        <v>314.5</v>
      </c>
      <c r="J24" s="11">
        <f>('14-06 - 16-06'!L27+'21-06 - 23-06'!L27)/2</f>
        <v>235.5</v>
      </c>
      <c r="K24" s="16">
        <f t="shared" si="0"/>
        <v>338.33333333333331</v>
      </c>
      <c r="L24" s="16">
        <f t="shared" si="1"/>
        <v>303</v>
      </c>
      <c r="M24" s="16">
        <f t="shared" si="2"/>
        <v>266.16666666666669</v>
      </c>
    </row>
    <row r="25" spans="1:13" x14ac:dyDescent="0.25">
      <c r="A25">
        <v>21</v>
      </c>
      <c r="B25" s="11">
        <f>('14-06 - 16-06'!B28+'21-06 - 23-06'!B28)/2</f>
        <v>263.5</v>
      </c>
      <c r="C25" s="11">
        <f>('14-06 - 16-06'!C28+'21-06 - 23-06'!C28)/2</f>
        <v>361.5</v>
      </c>
      <c r="D25" s="11">
        <f>('14-06 - 16-06'!D28+'21-06 - 23-06'!D28)/2</f>
        <v>172.5</v>
      </c>
      <c r="E25" s="11">
        <f>('14-06 - 16-06'!F28+'21-06 - 23-06'!F28)/2</f>
        <v>209.5</v>
      </c>
      <c r="F25" s="11">
        <f>('14-06 - 16-06'!G28+'21-06 - 23-06'!G28)/2</f>
        <v>279.5</v>
      </c>
      <c r="G25" s="11">
        <f>('14-06 - 16-06'!H28+'21-06 - 23-06'!H28)/2</f>
        <v>158</v>
      </c>
      <c r="H25" s="11">
        <f>('14-06 - 16-06'!J28+'21-06 - 23-06'!J28)/2</f>
        <v>199.5</v>
      </c>
      <c r="I25" s="11">
        <f>('14-06 - 16-06'!K28+'21-06 - 23-06'!K28)/2</f>
        <v>231</v>
      </c>
      <c r="J25" s="11">
        <f>('14-06 - 16-06'!L28+'21-06 - 23-06'!L28)/2</f>
        <v>175</v>
      </c>
      <c r="K25" s="16">
        <f t="shared" si="0"/>
        <v>265.83333333333331</v>
      </c>
      <c r="L25" s="16">
        <f t="shared" si="1"/>
        <v>215.66666666666666</v>
      </c>
      <c r="M25" s="16">
        <f t="shared" si="2"/>
        <v>201.83333333333334</v>
      </c>
    </row>
    <row r="26" spans="1:13" x14ac:dyDescent="0.25">
      <c r="A26">
        <v>22</v>
      </c>
      <c r="B26" s="11">
        <f>('14-06 - 16-06'!B29+'21-06 - 23-06'!B29)/2</f>
        <v>227.5</v>
      </c>
      <c r="C26" s="11">
        <f>('14-06 - 16-06'!C29+'21-06 - 23-06'!C29)/2</f>
        <v>294</v>
      </c>
      <c r="D26" s="11">
        <f>('14-06 - 16-06'!D29+'21-06 - 23-06'!D29)/2</f>
        <v>154</v>
      </c>
      <c r="E26" s="11">
        <f>('14-06 - 16-06'!F29+'21-06 - 23-06'!F29)/2</f>
        <v>123</v>
      </c>
      <c r="F26" s="11">
        <f>('14-06 - 16-06'!G29+'21-06 - 23-06'!G29)/2</f>
        <v>162.5</v>
      </c>
      <c r="G26" s="11">
        <f>('14-06 - 16-06'!H29+'21-06 - 23-06'!H29)/2</f>
        <v>101.5</v>
      </c>
      <c r="H26" s="11">
        <f>('14-06 - 16-06'!J29+'21-06 - 23-06'!J29)/2</f>
        <v>156.5</v>
      </c>
      <c r="I26" s="11">
        <f>('14-06 - 16-06'!K29+'21-06 - 23-06'!K29)/2</f>
        <v>219</v>
      </c>
      <c r="J26" s="11">
        <f>('14-06 - 16-06'!L29+'21-06 - 23-06'!L29)/2</f>
        <v>126.5</v>
      </c>
      <c r="K26" s="16">
        <f t="shared" si="0"/>
        <v>225.16666666666666</v>
      </c>
      <c r="L26" s="16">
        <f t="shared" si="1"/>
        <v>129</v>
      </c>
      <c r="M26" s="16">
        <f t="shared" si="2"/>
        <v>167.33333333333334</v>
      </c>
    </row>
    <row r="27" spans="1:13" x14ac:dyDescent="0.25">
      <c r="A27">
        <v>23</v>
      </c>
      <c r="B27" s="11">
        <f>('14-06 - 16-06'!B30+'21-06 - 23-06'!B30)/2</f>
        <v>174.5</v>
      </c>
      <c r="C27" s="11">
        <f>('14-06 - 16-06'!C30+'21-06 - 23-06'!C30)/2</f>
        <v>267</v>
      </c>
      <c r="D27" s="11">
        <f>('14-06 - 16-06'!D30+'21-06 - 23-06'!D30)/2</f>
        <v>121</v>
      </c>
      <c r="E27" s="11">
        <f>('14-06 - 16-06'!F30+'21-06 - 23-06'!F30)/2</f>
        <v>80</v>
      </c>
      <c r="F27" s="11">
        <f>('14-06 - 16-06'!G30+'21-06 - 23-06'!G30)/2</f>
        <v>100.5</v>
      </c>
      <c r="G27" s="11">
        <f>('14-06 - 16-06'!H30+'21-06 - 23-06'!H30)/2</f>
        <v>50.5</v>
      </c>
      <c r="H27" s="11">
        <f>('14-06 - 16-06'!J30+'21-06 - 23-06'!J30)/2</f>
        <v>76</v>
      </c>
      <c r="I27" s="11">
        <f>('14-06 - 16-06'!K30+'21-06 - 23-06'!K30)/2</f>
        <v>116.5</v>
      </c>
      <c r="J27" s="11">
        <f>('14-06 - 16-06'!L30+'21-06 - 23-06'!L30)/2</f>
        <v>72.5</v>
      </c>
      <c r="K27" s="16">
        <f t="shared" si="0"/>
        <v>187.5</v>
      </c>
      <c r="L27" s="16">
        <f t="shared" si="1"/>
        <v>77</v>
      </c>
      <c r="M27" s="16">
        <f t="shared" si="2"/>
        <v>88.333333333333329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7351-0A98-44BC-AA67-1D1B118EAC8D}">
  <dimension ref="A1:E6"/>
  <sheetViews>
    <sheetView workbookViewId="0"/>
  </sheetViews>
  <sheetFormatPr defaultRowHeight="15.75" x14ac:dyDescent="0.25"/>
  <cols>
    <col min="1" max="1" width="20" bestFit="1" customWidth="1"/>
    <col min="2" max="2" width="31.5" bestFit="1" customWidth="1"/>
    <col min="3" max="3" width="40.5" bestFit="1" customWidth="1"/>
    <col min="4" max="4" width="9.375" bestFit="1" customWidth="1"/>
    <col min="5" max="5" width="8.75" bestFit="1" customWidth="1"/>
  </cols>
  <sheetData>
    <row r="1" spans="1:5" x14ac:dyDescent="0.25">
      <c r="A1" s="7" t="s">
        <v>56</v>
      </c>
    </row>
    <row r="3" spans="1:5" x14ac:dyDescent="0.25">
      <c r="A3" s="8" t="s">
        <v>46</v>
      </c>
      <c r="B3" s="8" t="s">
        <v>2</v>
      </c>
      <c r="C3" s="8" t="s">
        <v>57</v>
      </c>
      <c r="D3" s="8" t="s">
        <v>58</v>
      </c>
      <c r="E3" s="8" t="s">
        <v>59</v>
      </c>
    </row>
    <row r="4" spans="1:5" x14ac:dyDescent="0.25">
      <c r="A4">
        <v>1</v>
      </c>
      <c r="B4" t="str">
        <f>'General information'!B4</f>
        <v>GEO2A_R_RWSTI362792</v>
      </c>
      <c r="C4" t="str">
        <f>'General information'!C4</f>
        <v>035HRL021400</v>
      </c>
      <c r="D4" s="12">
        <f>'General information'!D4</f>
        <v>52.386608000000003</v>
      </c>
      <c r="E4" s="12">
        <f>'General information'!E4</f>
        <v>6.2898360000000002</v>
      </c>
    </row>
    <row r="5" spans="1:5" x14ac:dyDescent="0.25">
      <c r="A5">
        <v>2</v>
      </c>
      <c r="B5" t="str">
        <f>'General information'!B5</f>
        <v>GEO2A__R_RWSTI362781</v>
      </c>
      <c r="C5" t="str">
        <f>'General information'!C5</f>
        <v>N35 na afslag Heino-Zuid ri kr N348 thv hmp 19.2</v>
      </c>
      <c r="D5" s="12">
        <f>'General information'!D5</f>
        <v>52.400634799999999</v>
      </c>
      <c r="E5" s="12">
        <f>'General information'!E5</f>
        <v>6.2675862000000002</v>
      </c>
    </row>
    <row r="6" spans="1:5" x14ac:dyDescent="0.25">
      <c r="A6">
        <v>3</v>
      </c>
      <c r="B6" t="str">
        <f>'General information'!B6</f>
        <v>POV07_N348_Hmp_64.4_Re_HTN348</v>
      </c>
      <c r="C6" t="str">
        <f>'General information'!C6</f>
        <v>Westdorplaan - N756</v>
      </c>
      <c r="D6" s="12">
        <f>'General information'!D6</f>
        <v>52.380649599999998</v>
      </c>
      <c r="E6" s="12">
        <f>'General information'!E6</f>
        <v>6.2590389000000002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07-06 - 09-06</vt:lpstr>
      <vt:lpstr>14-06 - 16-06</vt:lpstr>
      <vt:lpstr>21-06 - 23-06</vt:lpstr>
      <vt:lpstr>Table 1 - Avg All</vt:lpstr>
      <vt:lpstr>Table 2 - Avg Wknd2-3</vt:lpstr>
      <vt:lpstr>Detector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Vos, C.M. (Cleo)</dc:creator>
  <cp:lastModifiedBy>Tijn de Wit</cp:lastModifiedBy>
  <dcterms:created xsi:type="dcterms:W3CDTF">2026-05-08T23:11:59Z</dcterms:created>
  <dcterms:modified xsi:type="dcterms:W3CDTF">2026-06-05T12:42:28Z</dcterms:modified>
</cp:coreProperties>
</file>